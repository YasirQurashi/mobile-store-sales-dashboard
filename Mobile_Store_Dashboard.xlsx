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MLS\Desktop\"/>
    </mc:Choice>
  </mc:AlternateContent>
  <xr:revisionPtr revIDLastSave="0" documentId="13_ncr:1_{54ED65D0-22FC-4D32-9BEA-8C1785320BC3}" xr6:coauthVersionLast="47" xr6:coauthVersionMax="47" xr10:uidLastSave="{00000000-0000-0000-0000-000000000000}"/>
  <bookViews>
    <workbookView xWindow="-110" yWindow="-110" windowWidth="19420" windowHeight="10300" activeTab="2" xr2:uid="{77F865C1-8007-4F70-8762-89E3E7374C7D}"/>
  </bookViews>
  <sheets>
    <sheet name="Pivot Table" sheetId="4" r:id="rId1"/>
    <sheet name="Data File" sheetId="1" r:id="rId2"/>
    <sheet name="Dashboard" sheetId="3" r:id="rId3"/>
  </sheets>
  <definedNames>
    <definedName name="Slicer_Months__Date">#N/A</definedName>
    <definedName name="Slicer_Product">#N/A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E16" i="4"/>
  <c r="E15" i="4"/>
  <c r="E14" i="4"/>
</calcChain>
</file>

<file path=xl/sharedStrings.xml><?xml version="1.0" encoding="utf-8"?>
<sst xmlns="http://schemas.openxmlformats.org/spreadsheetml/2006/main" count="3039" uniqueCount="31">
  <si>
    <t>Date</t>
  </si>
  <si>
    <t>Region</t>
  </si>
  <si>
    <t>Product</t>
  </si>
  <si>
    <t>Salesperson</t>
  </si>
  <si>
    <t>Quantity</t>
  </si>
  <si>
    <t>Unit_Price</t>
  </si>
  <si>
    <t>Islamabad</t>
  </si>
  <si>
    <t>Lahore</t>
  </si>
  <si>
    <t>Iphone</t>
  </si>
  <si>
    <t>Samsung</t>
  </si>
  <si>
    <t>Redmi</t>
  </si>
  <si>
    <t>Techno</t>
  </si>
  <si>
    <t>Karachi</t>
  </si>
  <si>
    <t>Sialkot</t>
  </si>
  <si>
    <t>Umair</t>
  </si>
  <si>
    <t>Zeeshan</t>
  </si>
  <si>
    <t>Yasir</t>
  </si>
  <si>
    <t>Zain</t>
  </si>
  <si>
    <t>Shahbaz</t>
  </si>
  <si>
    <t>Haseeb</t>
  </si>
  <si>
    <t>Revenue</t>
  </si>
  <si>
    <t>Vivo</t>
  </si>
  <si>
    <t>Row Labels</t>
  </si>
  <si>
    <t>Grand Total</t>
  </si>
  <si>
    <t>Sum of Revenue</t>
  </si>
  <si>
    <t>Mar</t>
  </si>
  <si>
    <t>Sum of Quantity</t>
  </si>
  <si>
    <t>Count of Quantity</t>
  </si>
  <si>
    <t>Total Revenue</t>
  </si>
  <si>
    <t>Total Units Sold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</si>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</sst>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M&quot;"/>
  </numFmts>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5"/>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0" fontId="0" fillId="0" borderId="2" xfId="0" applyFont="1" applyBorder="1"/>
    <xf numFmtId="0" fontId="0" fillId="0" borderId="3" xfId="0" applyFont="1" applyBorder="1"/>
    <xf numFmtId="0" fontId="1" fillId="2" borderId="4" xfId="0" applyFont="1" applyFill="1" applyBorder="1"/>
    <xf numFmtId="0" fontId="1" fillId="2" borderId="5" xfId="0" applyFont="1" applyFill="1" applyBorder="1"/>
    <xf numFmtId="0" fontId="1" fillId="2" borderId="6" xfId="0" applyFont="1" applyFill="1" applyBorder="1"/>
    <xf numFmtId="22" fontId="0" fillId="3" borderId="4" xfId="0" applyNumberFormat="1" applyFont="1" applyFill="1" applyBorder="1"/>
    <xf numFmtId="0" fontId="0" fillId="3" borderId="5" xfId="0" applyFont="1" applyFill="1" applyBorder="1"/>
    <xf numFmtId="0" fontId="0" fillId="3" borderId="6" xfId="0" applyFont="1" applyFill="1" applyBorder="1"/>
    <xf numFmtId="22" fontId="0" fillId="0" borderId="4" xfId="0" applyNumberFormat="1" applyFont="1" applyBorder="1"/>
    <xf numFmtId="0" fontId="0" fillId="0" borderId="5" xfId="0" applyFont="1" applyBorder="1"/>
    <xf numFmtId="0" fontId="0" fillId="0" borderId="6" xfId="0" applyFont="1" applyBorder="1"/>
    <xf numFmtId="22" fontId="0" fillId="0" borderId="1" xfId="0" applyNumberFormat="1" applyFont="1" applyBorder="1"/>
    <xf numFmtId="0" fontId="0" fillId="4" borderId="0" xfId="0" applyFill="1"/>
  </cellXfs>
  <cellStyles count="1">
    <cellStyle name="Normal" xfId="0" builtinId="0"/>
  </cellStyles>
  <dxfs count="90">
    <dxf>
      <numFmt numFmtId="164" formatCode="#,##0,,\ &quot;M&quot;"/>
    </dxf>
    <dxf>
      <numFmt numFmtId="1" formatCode="0"/>
    </dxf>
    <dxf>
      <numFmt numFmtId="164" formatCode="#,##0,,\ &quot;M&quot;"/>
    </dxf>
    <dxf>
      <numFmt numFmtId="164" formatCode="#,##0,,\ &quot;M&quot;"/>
    </dxf>
    <dxf>
      <numFmt numFmtId="1" formatCode="0"/>
    </dxf>
    <dxf>
      <numFmt numFmtId="164" formatCode="#,##0,,\ &quot;M&quot;"/>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 formatCode="0"/>
    </dxf>
    <dxf>
      <numFmt numFmtId="164" formatCode="#,##0,,\ &quot;M&quot;"/>
    </dxf>
    <dxf>
      <numFmt numFmtId="164" formatCode="#,##0,,\ &quot;M&quot;"/>
    </dxf>
    <dxf>
      <numFmt numFmtId="1" formatCode="0"/>
    </dxf>
    <dxf>
      <numFmt numFmtId="164" formatCode="#,##0,,\ &quot;M&quot;"/>
    </dxf>
    <dxf>
      <numFmt numFmtId="164" formatCode="#,##0,,\ &quot;M&quot;"/>
    </dxf>
    <dxf>
      <numFmt numFmtId="1" formatCode="0"/>
    </dxf>
    <dxf>
      <numFmt numFmtId="164" formatCode="#,##0,,\ &quot;M&quot;"/>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64" formatCode="#,##0,,\ &quot;M&quot;"/>
    </dxf>
    <dxf>
      <numFmt numFmtId="164" formatCode="#,##0,,\ &quot;M&quot;"/>
    </dxf>
    <dxf>
      <numFmt numFmtId="1" formatCode="0"/>
    </dxf>
    <dxf>
      <numFmt numFmtId="164" formatCode="#,##0,,\ &quot;M&quot;"/>
    </dxf>
    <dxf>
      <numFmt numFmtId="1" formatCode="0"/>
    </dxf>
    <dxf>
      <numFmt numFmtId="164" formatCode="#,##0,,\ &quot;M&quot;"/>
    </dxf>
    <dxf>
      <numFmt numFmtId="1" formatCode="0"/>
    </dxf>
    <dxf>
      <numFmt numFmtId="164" formatCode="#,##0,,\ &quot;M&quot;"/>
    </dxf>
    <dxf>
      <numFmt numFmtId="164" formatCode="#,##0,,\ &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1.xlsx]Pivot Table!PivotTable1</c:name>
    <c:fmtId val="27"/>
  </c:pivotSource>
  <c:chart>
    <c:title>
      <c:tx>
        <c:rich>
          <a:bodyPr rot="0" spcFirstLastPara="1" vertOverflow="ellipsis" vert="horz" wrap="square" anchor="ctr" anchorCtr="1"/>
          <a:lstStyle/>
          <a:p>
            <a:pPr>
              <a:defRPr sz="2400" b="1" i="0" u="none" strike="noStrike" kern="1200" spc="0" baseline="0">
                <a:solidFill>
                  <a:schemeClr val="tx1"/>
                </a:solidFill>
                <a:latin typeface="+mj-lt"/>
                <a:ea typeface="+mn-ea"/>
                <a:cs typeface="Times New Roman" panose="02020603050405020304" pitchFamily="18" charset="0"/>
              </a:defRPr>
            </a:pPr>
            <a:r>
              <a:rPr lang="en-US" sz="1800"/>
              <a:t>Product Wise Performance</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j-lt"/>
              <a:ea typeface="+mn-ea"/>
              <a:cs typeface="Times New Roman" panose="02020603050405020304" pitchFamily="18" charset="0"/>
            </a:defRPr>
          </a:pPr>
          <a:endParaRPr lang="en-US"/>
        </a:p>
      </c:txPr>
    </c:title>
    <c:autoTitleDeleted val="0"/>
    <c:pivotFmts>
      <c:pivotFmt>
        <c:idx val="0"/>
        <c:spPr>
          <a:solidFill>
            <a:schemeClr val="accent1"/>
          </a:solidFill>
          <a:ln w="15875">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j-lt"/>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j-lt"/>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a:noFill/>
          </a:ln>
          <a:effectLst/>
        </c:spPr>
      </c:pivotFmt>
      <c:pivotFmt>
        <c:idx val="3"/>
        <c:spPr>
          <a:solidFill>
            <a:schemeClr val="accent1"/>
          </a:solidFill>
          <a:ln w="15875">
            <a:noFill/>
          </a:ln>
          <a:effectLst/>
        </c:spPr>
      </c:pivotFmt>
      <c:pivotFmt>
        <c:idx val="4"/>
        <c:spPr>
          <a:solidFill>
            <a:schemeClr val="accent1"/>
          </a:solidFill>
          <a:ln w="15875">
            <a:noFill/>
          </a:ln>
          <a:effectLst/>
        </c:spPr>
      </c:pivotFmt>
      <c:pivotFmt>
        <c:idx val="5"/>
        <c:spPr>
          <a:solidFill>
            <a:schemeClr val="accent1"/>
          </a:solidFill>
          <a:ln w="15875">
            <a:noFill/>
          </a:ln>
          <a:effectLst/>
        </c:spPr>
      </c:pivotFmt>
      <c:pivotFmt>
        <c:idx val="6"/>
        <c:spPr>
          <a:solidFill>
            <a:schemeClr val="accent1"/>
          </a:solidFill>
          <a:ln w="15875">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j-lt"/>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BDB-47AF-B321-3FB530B67CB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BDB-47AF-B321-3FB530B67CB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6BDB-47AF-B321-3FB530B67CB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6BDB-47AF-B321-3FB530B67CB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6BDB-47AF-B321-3FB530B67CB4}"/>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j-lt"/>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Iphone</c:v>
                </c:pt>
                <c:pt idx="1">
                  <c:v>Samsung</c:v>
                </c:pt>
                <c:pt idx="2">
                  <c:v>Techno</c:v>
                </c:pt>
                <c:pt idx="3">
                  <c:v>Redmi</c:v>
                </c:pt>
                <c:pt idx="4">
                  <c:v>Vivo</c:v>
                </c:pt>
              </c:strCache>
            </c:strRef>
          </c:cat>
          <c:val>
            <c:numRef>
              <c:f>'Pivot Table'!$B$4:$B$9</c:f>
              <c:numCache>
                <c:formatCode>#,##0,,\ "M"</c:formatCode>
                <c:ptCount val="5"/>
                <c:pt idx="0">
                  <c:v>3770864</c:v>
                </c:pt>
                <c:pt idx="1">
                  <c:v>4405069</c:v>
                </c:pt>
                <c:pt idx="2">
                  <c:v>5752584</c:v>
                </c:pt>
                <c:pt idx="3">
                  <c:v>6834265</c:v>
                </c:pt>
                <c:pt idx="4">
                  <c:v>7338563</c:v>
                </c:pt>
              </c:numCache>
            </c:numRef>
          </c:val>
          <c:extLst>
            <c:ext xmlns:c16="http://schemas.microsoft.com/office/drawing/2014/chart" uri="{C3380CC4-5D6E-409C-BE32-E72D297353CC}">
              <c16:uniqueId val="{0000000A-6BDB-47AF-B321-3FB530B67CB4}"/>
            </c:ext>
          </c:extLst>
        </c:ser>
        <c:dLbls>
          <c:showLegendKey val="0"/>
          <c:showVal val="0"/>
          <c:showCatName val="0"/>
          <c:showSerName val="0"/>
          <c:showPercent val="0"/>
          <c:showBubbleSize val="0"/>
        </c:dLbls>
        <c:gapWidth val="63"/>
        <c:axId val="1495340304"/>
        <c:axId val="1495340784"/>
      </c:barChart>
      <c:catAx>
        <c:axId val="1495340304"/>
        <c:scaling>
          <c:orientation val="minMax"/>
        </c:scaling>
        <c:delete val="0"/>
        <c:axPos val="l"/>
        <c:numFmt formatCode="General" sourceLinked="1"/>
        <c:majorTickMark val="none"/>
        <c:minorTickMark val="none"/>
        <c:tickLblPos val="nextTo"/>
        <c:spPr>
          <a:noFill/>
          <a:ln w="12700" cap="flat" cmpd="sng" algn="ctr">
            <a:solidFill>
              <a:schemeClr val="bg1">
                <a:lumMod val="7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j-lt"/>
                <a:ea typeface="+mn-ea"/>
                <a:cs typeface="Times New Roman" panose="02020603050405020304" pitchFamily="18" charset="0"/>
              </a:defRPr>
            </a:pPr>
            <a:endParaRPr lang="en-US"/>
          </a:p>
        </c:txPr>
        <c:crossAx val="1495340784"/>
        <c:crosses val="autoZero"/>
        <c:auto val="1"/>
        <c:lblAlgn val="ctr"/>
        <c:lblOffset val="100"/>
        <c:noMultiLvlLbl val="0"/>
      </c:catAx>
      <c:valAx>
        <c:axId val="1495340784"/>
        <c:scaling>
          <c:orientation val="minMax"/>
        </c:scaling>
        <c:delete val="0"/>
        <c:axPos val="b"/>
        <c:numFmt formatCode="#,##0,,\ &quot;M&quot;" sourceLinked="1"/>
        <c:majorTickMark val="none"/>
        <c:minorTickMark val="none"/>
        <c:tickLblPos val="nextTo"/>
        <c:spPr>
          <a:noFill/>
          <a:ln w="12700">
            <a:solidFill>
              <a:schemeClr val="bg1">
                <a:lumMod val="75000"/>
              </a:schemeClr>
            </a:solidFill>
          </a:ln>
          <a:effectLst/>
        </c:spPr>
        <c:txPr>
          <a:bodyPr rot="-60000000" spcFirstLastPara="1" vertOverflow="ellipsis" vert="horz" wrap="square" anchor="ctr" anchorCtr="1"/>
          <a:lstStyle/>
          <a:p>
            <a:pPr>
              <a:defRPr sz="1050" b="1" i="0" u="none" strike="noStrike" kern="1200" baseline="0">
                <a:solidFill>
                  <a:schemeClr val="tx1"/>
                </a:solidFill>
                <a:latin typeface="+mj-lt"/>
                <a:ea typeface="+mn-ea"/>
                <a:cs typeface="Times New Roman" panose="02020603050405020304" pitchFamily="18" charset="0"/>
              </a:defRPr>
            </a:pPr>
            <a:endParaRPr lang="en-US"/>
          </a:p>
        </c:txPr>
        <c:crossAx val="149534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050" b="1">
          <a:solidFill>
            <a:schemeClr val="tx1"/>
          </a:solidFill>
          <a:latin typeface="+mj-lt"/>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1.xlsx]Pivot Table!PivotTable2</c:name>
    <c:fmtId val="4"/>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000" b="1">
                <a:solidFill>
                  <a:schemeClr val="tx1"/>
                </a:solidFill>
              </a:rPr>
              <a:t>City</a:t>
            </a:r>
            <a:r>
              <a:rPr lang="en-US" sz="2000" b="1" baseline="0">
                <a:solidFill>
                  <a:schemeClr val="tx1"/>
                </a:solidFill>
              </a:rPr>
              <a:t> Wise Sales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91-4597-9EA8-8AA98BEF21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91-4597-9EA8-8AA98BEF21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91-4597-9EA8-8AA98BEF21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91-4597-9EA8-8AA98BEF21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Islamabad</c:v>
                </c:pt>
                <c:pt idx="1">
                  <c:v>Karachi</c:v>
                </c:pt>
                <c:pt idx="2">
                  <c:v>Lahore</c:v>
                </c:pt>
                <c:pt idx="3">
                  <c:v>Sialkot</c:v>
                </c:pt>
              </c:strCache>
            </c:strRef>
          </c:cat>
          <c:val>
            <c:numRef>
              <c:f>'Pivot Table'!$E$4:$E$8</c:f>
              <c:numCache>
                <c:formatCode>0.00%</c:formatCode>
                <c:ptCount val="4"/>
                <c:pt idx="0">
                  <c:v>0.29619037807620952</c:v>
                </c:pt>
                <c:pt idx="1">
                  <c:v>0.20663786733339631</c:v>
                </c:pt>
                <c:pt idx="2">
                  <c:v>0.26357083620018901</c:v>
                </c:pt>
                <c:pt idx="3">
                  <c:v>0.23360091839020516</c:v>
                </c:pt>
              </c:numCache>
            </c:numRef>
          </c:val>
          <c:extLst>
            <c:ext xmlns:c16="http://schemas.microsoft.com/office/drawing/2014/chart" uri="{C3380CC4-5D6E-409C-BE32-E72D297353CC}">
              <c16:uniqueId val="{00000008-9C91-4597-9EA8-8AA98BEF2120}"/>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1.xlsx]Pivot Table!PivotTable3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a:t>
            </a:r>
            <a:r>
              <a:rPr lang="en-US" sz="1600" b="1" baseline="0">
                <a:solidFill>
                  <a:schemeClr val="tx1"/>
                </a:solidFill>
              </a:rPr>
              <a:t> Wise Revenue Trends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Sum of Revenue</c:v>
                </c:pt>
              </c:strCache>
            </c:strRef>
          </c:tx>
          <c:spPr>
            <a:solidFill>
              <a:schemeClr val="accent1"/>
            </a:solidFill>
            <a:ln>
              <a:noFill/>
            </a:ln>
            <a:effectLst/>
          </c:spPr>
          <c:invertIfNegative val="0"/>
          <c:cat>
            <c:strRef>
              <c:f>'Pivot Table'!$G$4:$G$5</c:f>
              <c:strCache>
                <c:ptCount val="1"/>
                <c:pt idx="0">
                  <c:v>Mar</c:v>
                </c:pt>
              </c:strCache>
            </c:strRef>
          </c:cat>
          <c:val>
            <c:numRef>
              <c:f>'Pivot Table'!$H$4:$H$5</c:f>
              <c:numCache>
                <c:formatCode>#,##0,,\ "M"</c:formatCode>
                <c:ptCount val="1"/>
                <c:pt idx="0">
                  <c:v>28101345</c:v>
                </c:pt>
              </c:numCache>
            </c:numRef>
          </c:val>
          <c:extLst>
            <c:ext xmlns:c16="http://schemas.microsoft.com/office/drawing/2014/chart" uri="{C3380CC4-5D6E-409C-BE32-E72D297353CC}">
              <c16:uniqueId val="{00000000-D283-4937-8B6F-C6CC4A6082B0}"/>
            </c:ext>
          </c:extLst>
        </c:ser>
        <c:dLbls>
          <c:showLegendKey val="0"/>
          <c:showVal val="0"/>
          <c:showCatName val="0"/>
          <c:showSerName val="0"/>
          <c:showPercent val="0"/>
          <c:showBubbleSize val="0"/>
        </c:dLbls>
        <c:gapWidth val="150"/>
        <c:axId val="157191456"/>
        <c:axId val="157196736"/>
      </c:barChart>
      <c:lineChart>
        <c:grouping val="standard"/>
        <c:varyColors val="0"/>
        <c:ser>
          <c:idx val="1"/>
          <c:order val="1"/>
          <c:tx>
            <c:strRef>
              <c:f>'Pivot Table'!$I$3</c:f>
              <c:strCache>
                <c:ptCount val="1"/>
                <c:pt idx="0">
                  <c:v>Sum of Quantity</c:v>
                </c:pt>
              </c:strCache>
            </c:strRef>
          </c:tx>
          <c:spPr>
            <a:ln w="28575" cap="rnd">
              <a:solidFill>
                <a:schemeClr val="accent2"/>
              </a:solidFill>
              <a:round/>
            </a:ln>
            <a:effectLst/>
          </c:spPr>
          <c:marker>
            <c:symbol val="none"/>
          </c:marker>
          <c:cat>
            <c:strRef>
              <c:f>'Pivot Table'!$G$4:$G$5</c:f>
              <c:strCache>
                <c:ptCount val="1"/>
                <c:pt idx="0">
                  <c:v>Mar</c:v>
                </c:pt>
              </c:strCache>
            </c:strRef>
          </c:cat>
          <c:val>
            <c:numRef>
              <c:f>'Pivot Table'!$I$4:$I$5</c:f>
              <c:numCache>
                <c:formatCode>0</c:formatCode>
                <c:ptCount val="1"/>
                <c:pt idx="0">
                  <c:v>777</c:v>
                </c:pt>
              </c:numCache>
            </c:numRef>
          </c:val>
          <c:smooth val="0"/>
          <c:extLst>
            <c:ext xmlns:c16="http://schemas.microsoft.com/office/drawing/2014/chart" uri="{C3380CC4-5D6E-409C-BE32-E72D297353CC}">
              <c16:uniqueId val="{00000001-D283-4937-8B6F-C6CC4A6082B0}"/>
            </c:ext>
          </c:extLst>
        </c:ser>
        <c:dLbls>
          <c:showLegendKey val="0"/>
          <c:showVal val="0"/>
          <c:showCatName val="0"/>
          <c:showSerName val="0"/>
          <c:showPercent val="0"/>
          <c:showBubbleSize val="0"/>
        </c:dLbls>
        <c:marker val="1"/>
        <c:smooth val="0"/>
        <c:axId val="157191936"/>
        <c:axId val="157203456"/>
      </c:lineChart>
      <c:catAx>
        <c:axId val="15719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6736"/>
        <c:crosses val="autoZero"/>
        <c:auto val="1"/>
        <c:lblAlgn val="ctr"/>
        <c:lblOffset val="100"/>
        <c:noMultiLvlLbl val="0"/>
      </c:catAx>
      <c:valAx>
        <c:axId val="157196736"/>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1456"/>
        <c:crosses val="autoZero"/>
        <c:crossBetween val="between"/>
      </c:valAx>
      <c:valAx>
        <c:axId val="15720345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1936"/>
        <c:crosses val="max"/>
        <c:crossBetween val="between"/>
      </c:valAx>
      <c:catAx>
        <c:axId val="157191936"/>
        <c:scaling>
          <c:orientation val="minMax"/>
        </c:scaling>
        <c:delete val="1"/>
        <c:axPos val="b"/>
        <c:numFmt formatCode="General" sourceLinked="1"/>
        <c:majorTickMark val="none"/>
        <c:minorTickMark val="none"/>
        <c:tickLblPos val="nextTo"/>
        <c:crossAx val="15720345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1.xlsx]Pivot Table!PivotTable4</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5 Salesperson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c:f>
              <c:strCache>
                <c:ptCount val="1"/>
                <c:pt idx="0">
                  <c:v>Total</c:v>
                </c:pt>
              </c:strCache>
            </c:strRef>
          </c:tx>
          <c:spPr>
            <a:solidFill>
              <a:schemeClr val="accent1"/>
            </a:solidFill>
            <a:ln>
              <a:noFill/>
            </a:ln>
            <a:effectLst/>
          </c:spPr>
          <c:invertIfNegative val="0"/>
          <c:cat>
            <c:strRef>
              <c:f>'Pivot Table'!$A$12:$A$17</c:f>
              <c:strCache>
                <c:ptCount val="5"/>
                <c:pt idx="0">
                  <c:v>Haseeb</c:v>
                </c:pt>
                <c:pt idx="1">
                  <c:v>Shahbaz</c:v>
                </c:pt>
                <c:pt idx="2">
                  <c:v>Yasir</c:v>
                </c:pt>
                <c:pt idx="3">
                  <c:v>Umair</c:v>
                </c:pt>
                <c:pt idx="4">
                  <c:v>Zeeshan</c:v>
                </c:pt>
              </c:strCache>
            </c:strRef>
          </c:cat>
          <c:val>
            <c:numRef>
              <c:f>'Pivot Table'!$B$12:$B$17</c:f>
              <c:numCache>
                <c:formatCode>#,##0,,\ "M"</c:formatCode>
                <c:ptCount val="5"/>
                <c:pt idx="0">
                  <c:v>6166614</c:v>
                </c:pt>
                <c:pt idx="1">
                  <c:v>5807879</c:v>
                </c:pt>
                <c:pt idx="2">
                  <c:v>4486314</c:v>
                </c:pt>
                <c:pt idx="3">
                  <c:v>4325490</c:v>
                </c:pt>
                <c:pt idx="4">
                  <c:v>3670161</c:v>
                </c:pt>
              </c:numCache>
            </c:numRef>
          </c:val>
          <c:extLst>
            <c:ext xmlns:c16="http://schemas.microsoft.com/office/drawing/2014/chart" uri="{C3380CC4-5D6E-409C-BE32-E72D297353CC}">
              <c16:uniqueId val="{00000000-F6F9-421D-8D21-E7D1EF062D5F}"/>
            </c:ext>
          </c:extLst>
        </c:ser>
        <c:dLbls>
          <c:showLegendKey val="0"/>
          <c:showVal val="0"/>
          <c:showCatName val="0"/>
          <c:showSerName val="0"/>
          <c:showPercent val="0"/>
          <c:showBubbleSize val="0"/>
        </c:dLbls>
        <c:gapWidth val="219"/>
        <c:overlap val="-27"/>
        <c:axId val="77070432"/>
        <c:axId val="77072832"/>
      </c:barChart>
      <c:catAx>
        <c:axId val="7707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72832"/>
        <c:crosses val="autoZero"/>
        <c:auto val="1"/>
        <c:lblAlgn val="ctr"/>
        <c:lblOffset val="100"/>
        <c:noMultiLvlLbl val="0"/>
      </c:catAx>
      <c:valAx>
        <c:axId val="77072832"/>
        <c:scaling>
          <c:orientation val="minMax"/>
        </c:scaling>
        <c:delete val="0"/>
        <c:axPos val="l"/>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7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186498</xdr:colOff>
      <xdr:row>0</xdr:row>
      <xdr:rowOff>157592</xdr:rowOff>
    </xdr:from>
    <xdr:to>
      <xdr:col>18</xdr:col>
      <xdr:colOff>319848</xdr:colOff>
      <xdr:row>30</xdr:row>
      <xdr:rowOff>98274</xdr:rowOff>
    </xdr:to>
    <xdr:sp macro="" textlink="">
      <xdr:nvSpPr>
        <xdr:cNvPr id="2" name="Rectangle: Rounded Corners 1">
          <a:extLst>
            <a:ext uri="{FF2B5EF4-FFF2-40B4-BE49-F238E27FC236}">
              <a16:creationId xmlns:a16="http://schemas.microsoft.com/office/drawing/2014/main" id="{B95E1E53-FFA2-AB8A-AF3F-09A5CE80E99B}"/>
            </a:ext>
          </a:extLst>
        </xdr:cNvPr>
        <xdr:cNvSpPr/>
      </xdr:nvSpPr>
      <xdr:spPr>
        <a:xfrm>
          <a:off x="2635784" y="157592"/>
          <a:ext cx="8705850" cy="5383539"/>
        </a:xfrm>
        <a:prstGeom prst="roundRect">
          <a:avLst>
            <a:gd name="adj" fmla="val 6215"/>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212947</xdr:colOff>
      <xdr:row>0</xdr:row>
      <xdr:rowOff>156471</xdr:rowOff>
    </xdr:from>
    <xdr:to>
      <xdr:col>12</xdr:col>
      <xdr:colOff>155796</xdr:colOff>
      <xdr:row>3</xdr:row>
      <xdr:rowOff>34807</xdr:rowOff>
    </xdr:to>
    <xdr:sp macro="" textlink="">
      <xdr:nvSpPr>
        <xdr:cNvPr id="3" name="TextBox 2">
          <a:extLst>
            <a:ext uri="{FF2B5EF4-FFF2-40B4-BE49-F238E27FC236}">
              <a16:creationId xmlns:a16="http://schemas.microsoft.com/office/drawing/2014/main" id="{4E05F805-A86C-A2B6-E0BD-A5990D227B81}"/>
            </a:ext>
          </a:extLst>
        </xdr:cNvPr>
        <xdr:cNvSpPr txBox="1"/>
      </xdr:nvSpPr>
      <xdr:spPr>
        <a:xfrm>
          <a:off x="5111518" y="156471"/>
          <a:ext cx="2392135" cy="42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none">
              <a:latin typeface="Times New Roman" panose="02020603050405020304" pitchFamily="18" charset="0"/>
              <a:cs typeface="Times New Roman" panose="02020603050405020304" pitchFamily="18" charset="0"/>
            </a:rPr>
            <a:t>Sales</a:t>
          </a:r>
          <a:r>
            <a:rPr lang="en-US" sz="2400" b="1" u="none" baseline="0">
              <a:latin typeface="Times New Roman" panose="02020603050405020304" pitchFamily="18" charset="0"/>
              <a:cs typeface="Times New Roman" panose="02020603050405020304" pitchFamily="18" charset="0"/>
            </a:rPr>
            <a:t> Dashboard</a:t>
          </a:r>
          <a:endParaRPr lang="en-US" sz="2400" b="1" u="none">
            <a:latin typeface="Times New Roman" panose="02020603050405020304" pitchFamily="18" charset="0"/>
            <a:cs typeface="Times New Roman" panose="02020603050405020304" pitchFamily="18" charset="0"/>
          </a:endParaRPr>
        </a:p>
      </xdr:txBody>
    </xdr:sp>
    <xdr:clientData/>
  </xdr:twoCellAnchor>
  <xdr:twoCellAnchor>
    <xdr:from>
      <xdr:col>5</xdr:col>
      <xdr:colOff>192686</xdr:colOff>
      <xdr:row>3</xdr:row>
      <xdr:rowOff>74391</xdr:rowOff>
    </xdr:from>
    <xdr:to>
      <xdr:col>7</xdr:col>
      <xdr:colOff>586386</xdr:colOff>
      <xdr:row>7</xdr:row>
      <xdr:rowOff>80741</xdr:rowOff>
    </xdr:to>
    <xdr:sp macro="" textlink="">
      <xdr:nvSpPr>
        <xdr:cNvPr id="4" name="TextBox 3">
          <a:extLst>
            <a:ext uri="{FF2B5EF4-FFF2-40B4-BE49-F238E27FC236}">
              <a16:creationId xmlns:a16="http://schemas.microsoft.com/office/drawing/2014/main" id="{848208A3-BAE6-4BAA-A2D1-C49835AC464E}"/>
            </a:ext>
          </a:extLst>
        </xdr:cNvPr>
        <xdr:cNvSpPr txBox="1"/>
      </xdr:nvSpPr>
      <xdr:spPr>
        <a:xfrm>
          <a:off x="3254293" y="618677"/>
          <a:ext cx="1618343" cy="732064"/>
        </a:xfrm>
        <a:prstGeom prst="flowChartAlternateProcess">
          <a:avLst/>
        </a:prstGeom>
        <a:solidFill>
          <a:schemeClr val="bg1"/>
        </a:solidFill>
        <a:ln w="9525" cmpd="sng">
          <a:noFill/>
        </a:ln>
        <a:effectLst>
          <a:outerShdw blurRad="50800" dist="50800" dir="5400000" algn="ctr" rotWithShape="0">
            <a:schemeClr val="tx1"/>
          </a:outerShd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u="none">
            <a:latin typeface="Times New Roman" panose="02020603050405020304" pitchFamily="18" charset="0"/>
            <a:cs typeface="Times New Roman" panose="02020603050405020304" pitchFamily="18" charset="0"/>
          </a:endParaRPr>
        </a:p>
      </xdr:txBody>
    </xdr:sp>
    <xdr:clientData/>
  </xdr:twoCellAnchor>
  <xdr:twoCellAnchor>
    <xdr:from>
      <xdr:col>5</xdr:col>
      <xdr:colOff>176061</xdr:colOff>
      <xdr:row>3</xdr:row>
      <xdr:rowOff>44147</xdr:rowOff>
    </xdr:from>
    <xdr:to>
      <xdr:col>7</xdr:col>
      <xdr:colOff>607861</xdr:colOff>
      <xdr:row>5</xdr:row>
      <xdr:rowOff>98576</xdr:rowOff>
    </xdr:to>
    <xdr:sp macro="" textlink="">
      <xdr:nvSpPr>
        <xdr:cNvPr id="5" name="TextBox 4">
          <a:extLst>
            <a:ext uri="{FF2B5EF4-FFF2-40B4-BE49-F238E27FC236}">
              <a16:creationId xmlns:a16="http://schemas.microsoft.com/office/drawing/2014/main" id="{6EF7446B-14A2-48FA-A64B-94E3456CB2CD}"/>
            </a:ext>
          </a:extLst>
        </xdr:cNvPr>
        <xdr:cNvSpPr txBox="1"/>
      </xdr:nvSpPr>
      <xdr:spPr>
        <a:xfrm>
          <a:off x="3237668" y="588433"/>
          <a:ext cx="16564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none">
              <a:latin typeface="Times New Roman" panose="02020603050405020304" pitchFamily="18" charset="0"/>
              <a:cs typeface="Times New Roman" panose="02020603050405020304" pitchFamily="18" charset="0"/>
            </a:rPr>
            <a:t>Total</a:t>
          </a:r>
          <a:r>
            <a:rPr lang="en-US" sz="2400" b="1" u="none" baseline="0">
              <a:latin typeface="Times New Roman" panose="02020603050405020304" pitchFamily="18" charset="0"/>
              <a:cs typeface="Times New Roman" panose="02020603050405020304" pitchFamily="18" charset="0"/>
            </a:rPr>
            <a:t> Sales</a:t>
          </a:r>
          <a:endParaRPr lang="en-US" sz="2400" b="1" u="none">
            <a:latin typeface="Times New Roman" panose="02020603050405020304" pitchFamily="18" charset="0"/>
            <a:cs typeface="Times New Roman" panose="02020603050405020304" pitchFamily="18" charset="0"/>
          </a:endParaRPr>
        </a:p>
      </xdr:txBody>
    </xdr:sp>
    <xdr:clientData/>
  </xdr:twoCellAnchor>
  <xdr:twoCellAnchor>
    <xdr:from>
      <xdr:col>6</xdr:col>
      <xdr:colOff>28803</xdr:colOff>
      <xdr:row>5</xdr:row>
      <xdr:rowOff>3627</xdr:rowOff>
    </xdr:from>
    <xdr:to>
      <xdr:col>7</xdr:col>
      <xdr:colOff>399825</xdr:colOff>
      <xdr:row>7</xdr:row>
      <xdr:rowOff>58056</xdr:rowOff>
    </xdr:to>
    <xdr:sp macro="" textlink="'Pivot Table'!E14">
      <xdr:nvSpPr>
        <xdr:cNvPr id="6" name="TextBox 5">
          <a:extLst>
            <a:ext uri="{FF2B5EF4-FFF2-40B4-BE49-F238E27FC236}">
              <a16:creationId xmlns:a16="http://schemas.microsoft.com/office/drawing/2014/main" id="{86970620-C012-430B-B7F1-45276E5161DC}"/>
            </a:ext>
          </a:extLst>
        </xdr:cNvPr>
        <xdr:cNvSpPr txBox="1"/>
      </xdr:nvSpPr>
      <xdr:spPr>
        <a:xfrm>
          <a:off x="3702732" y="910770"/>
          <a:ext cx="9833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859259-CC4F-4376-9B31-54EAD5D1C8A6}" type="TxLink">
            <a:rPr lang="en-US" sz="2400" b="1" i="0" u="none" strike="noStrike">
              <a:solidFill>
                <a:schemeClr val="accent6"/>
              </a:solidFill>
              <a:latin typeface="Aptos Narrow"/>
              <a:cs typeface="Times New Roman" panose="02020603050405020304" pitchFamily="18" charset="0"/>
            </a:rPr>
            <a:pPr/>
            <a:t>28 M</a:t>
          </a:fld>
          <a:endParaRPr lang="en-US" sz="4800" b="1" u="none">
            <a:solidFill>
              <a:schemeClr val="accent6"/>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143402</xdr:colOff>
      <xdr:row>3</xdr:row>
      <xdr:rowOff>64411</xdr:rowOff>
    </xdr:from>
    <xdr:to>
      <xdr:col>10</xdr:col>
      <xdr:colOff>537102</xdr:colOff>
      <xdr:row>7</xdr:row>
      <xdr:rowOff>68040</xdr:rowOff>
    </xdr:to>
    <xdr:sp macro="" textlink="">
      <xdr:nvSpPr>
        <xdr:cNvPr id="7" name="TextBox 6">
          <a:extLst>
            <a:ext uri="{FF2B5EF4-FFF2-40B4-BE49-F238E27FC236}">
              <a16:creationId xmlns:a16="http://schemas.microsoft.com/office/drawing/2014/main" id="{B201A15A-810F-49CD-AD86-22127CB58CED}"/>
            </a:ext>
          </a:extLst>
        </xdr:cNvPr>
        <xdr:cNvSpPr txBox="1"/>
      </xdr:nvSpPr>
      <xdr:spPr>
        <a:xfrm>
          <a:off x="5041973" y="608697"/>
          <a:ext cx="1618343" cy="729343"/>
        </a:xfrm>
        <a:prstGeom prst="flowChartAlternateProcess">
          <a:avLst/>
        </a:prstGeom>
        <a:solidFill>
          <a:schemeClr val="bg1"/>
        </a:solidFill>
        <a:ln w="9525" cmpd="sng">
          <a:noFill/>
        </a:ln>
        <a:effectLst>
          <a:outerShdw blurRad="50800" dist="50800" dir="5400000" algn="ctr" rotWithShape="0">
            <a:schemeClr val="tx1"/>
          </a:outerShd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u="none">
            <a:latin typeface="Times New Roman" panose="02020603050405020304" pitchFamily="18" charset="0"/>
            <a:cs typeface="Times New Roman" panose="02020603050405020304" pitchFamily="18" charset="0"/>
          </a:endParaRPr>
        </a:p>
      </xdr:txBody>
    </xdr:sp>
    <xdr:clientData/>
  </xdr:twoCellAnchor>
  <xdr:twoCellAnchor>
    <xdr:from>
      <xdr:col>8</xdr:col>
      <xdr:colOff>120421</xdr:colOff>
      <xdr:row>3</xdr:row>
      <xdr:rowOff>60476</xdr:rowOff>
    </xdr:from>
    <xdr:to>
      <xdr:col>11</xdr:col>
      <xdr:colOff>14512</xdr:colOff>
      <xdr:row>5</xdr:row>
      <xdr:rowOff>117626</xdr:rowOff>
    </xdr:to>
    <xdr:sp macro="" textlink="">
      <xdr:nvSpPr>
        <xdr:cNvPr id="8" name="TextBox 7">
          <a:extLst>
            <a:ext uri="{FF2B5EF4-FFF2-40B4-BE49-F238E27FC236}">
              <a16:creationId xmlns:a16="http://schemas.microsoft.com/office/drawing/2014/main" id="{AA3F184A-401A-4A1D-8B4B-4073EB75A811}"/>
            </a:ext>
          </a:extLst>
        </xdr:cNvPr>
        <xdr:cNvSpPr txBox="1"/>
      </xdr:nvSpPr>
      <xdr:spPr>
        <a:xfrm>
          <a:off x="5018992" y="604762"/>
          <a:ext cx="1731056" cy="420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none">
              <a:latin typeface="Times New Roman" panose="02020603050405020304" pitchFamily="18" charset="0"/>
              <a:cs typeface="Times New Roman" panose="02020603050405020304" pitchFamily="18" charset="0"/>
            </a:rPr>
            <a:t>Total</a:t>
          </a:r>
          <a:r>
            <a:rPr lang="en-US" sz="2400" b="1" u="none" baseline="0">
              <a:latin typeface="Times New Roman" panose="02020603050405020304" pitchFamily="18" charset="0"/>
              <a:cs typeface="Times New Roman" panose="02020603050405020304" pitchFamily="18" charset="0"/>
            </a:rPr>
            <a:t> Units </a:t>
          </a:r>
          <a:endParaRPr lang="en-US" sz="2400" b="1" u="none">
            <a:latin typeface="Times New Roman" panose="02020603050405020304" pitchFamily="18" charset="0"/>
            <a:cs typeface="Times New Roman" panose="02020603050405020304" pitchFamily="18" charset="0"/>
          </a:endParaRPr>
        </a:p>
      </xdr:txBody>
    </xdr:sp>
    <xdr:clientData/>
  </xdr:twoCellAnchor>
  <xdr:twoCellAnchor>
    <xdr:from>
      <xdr:col>8</xdr:col>
      <xdr:colOff>483582</xdr:colOff>
      <xdr:row>5</xdr:row>
      <xdr:rowOff>18747</xdr:rowOff>
    </xdr:from>
    <xdr:to>
      <xdr:col>10</xdr:col>
      <xdr:colOff>242282</xdr:colOff>
      <xdr:row>7</xdr:row>
      <xdr:rowOff>73176</xdr:rowOff>
    </xdr:to>
    <xdr:sp macro="" textlink="'Pivot Table'!E15">
      <xdr:nvSpPr>
        <xdr:cNvPr id="9" name="TextBox 8">
          <a:extLst>
            <a:ext uri="{FF2B5EF4-FFF2-40B4-BE49-F238E27FC236}">
              <a16:creationId xmlns:a16="http://schemas.microsoft.com/office/drawing/2014/main" id="{664AE7A3-C9AA-4E0A-BFF0-C99956E729D5}"/>
            </a:ext>
          </a:extLst>
        </xdr:cNvPr>
        <xdr:cNvSpPr txBox="1"/>
      </xdr:nvSpPr>
      <xdr:spPr>
        <a:xfrm>
          <a:off x="5382153" y="925890"/>
          <a:ext cx="9833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0C6018-395F-4B0D-8BFA-00451B5F09B3}" type="TxLink">
            <a:rPr lang="en-US" sz="2400" b="1" i="0" u="none" strike="noStrike">
              <a:solidFill>
                <a:schemeClr val="accent6"/>
              </a:solidFill>
              <a:latin typeface="Aptos Narrow"/>
              <a:cs typeface="Times New Roman" panose="02020603050405020304" pitchFamily="18" charset="0"/>
            </a:rPr>
            <a:pPr/>
            <a:t>777</a:t>
          </a:fld>
          <a:endParaRPr lang="en-US" sz="2400" b="1" u="none">
            <a:solidFill>
              <a:schemeClr val="accent6"/>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58433</xdr:colOff>
      <xdr:row>3</xdr:row>
      <xdr:rowOff>50497</xdr:rowOff>
    </xdr:from>
    <xdr:to>
      <xdr:col>14</xdr:col>
      <xdr:colOff>37796</xdr:colOff>
      <xdr:row>7</xdr:row>
      <xdr:rowOff>56847</xdr:rowOff>
    </xdr:to>
    <xdr:sp macro="" textlink="">
      <xdr:nvSpPr>
        <xdr:cNvPr id="10" name="TextBox 9">
          <a:extLst>
            <a:ext uri="{FF2B5EF4-FFF2-40B4-BE49-F238E27FC236}">
              <a16:creationId xmlns:a16="http://schemas.microsoft.com/office/drawing/2014/main" id="{A50C106D-C44F-44A6-A15A-0238C1E5E3CB}"/>
            </a:ext>
          </a:extLst>
        </xdr:cNvPr>
        <xdr:cNvSpPr txBox="1"/>
      </xdr:nvSpPr>
      <xdr:spPr>
        <a:xfrm>
          <a:off x="6793969" y="594783"/>
          <a:ext cx="1816327" cy="732064"/>
        </a:xfrm>
        <a:prstGeom prst="flowChartAlternateProcess">
          <a:avLst/>
        </a:prstGeom>
        <a:solidFill>
          <a:schemeClr val="bg1"/>
        </a:solidFill>
        <a:ln w="9525" cmpd="sng">
          <a:noFill/>
        </a:ln>
        <a:effectLst>
          <a:outerShdw blurRad="50800" dist="50800" dir="5400000" algn="ctr" rotWithShape="0">
            <a:schemeClr val="tx1"/>
          </a:outerShd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u="none">
            <a:latin typeface="Times New Roman" panose="02020603050405020304" pitchFamily="18" charset="0"/>
            <a:cs typeface="Times New Roman" panose="02020603050405020304" pitchFamily="18" charset="0"/>
          </a:endParaRPr>
        </a:p>
      </xdr:txBody>
    </xdr:sp>
    <xdr:clientData/>
  </xdr:twoCellAnchor>
  <xdr:twoCellAnchor>
    <xdr:from>
      <xdr:col>11</xdr:col>
      <xdr:colOff>21841</xdr:colOff>
      <xdr:row>3</xdr:row>
      <xdr:rowOff>40337</xdr:rowOff>
    </xdr:from>
    <xdr:to>
      <xdr:col>14</xdr:col>
      <xdr:colOff>151185</xdr:colOff>
      <xdr:row>5</xdr:row>
      <xdr:rowOff>35257</xdr:rowOff>
    </xdr:to>
    <xdr:sp macro="" textlink="">
      <xdr:nvSpPr>
        <xdr:cNvPr id="11" name="TextBox 10">
          <a:extLst>
            <a:ext uri="{FF2B5EF4-FFF2-40B4-BE49-F238E27FC236}">
              <a16:creationId xmlns:a16="http://schemas.microsoft.com/office/drawing/2014/main" id="{A0539FC7-E9DB-4692-81D0-733FC0023FBA}"/>
            </a:ext>
          </a:extLst>
        </xdr:cNvPr>
        <xdr:cNvSpPr txBox="1"/>
      </xdr:nvSpPr>
      <xdr:spPr>
        <a:xfrm>
          <a:off x="6757377" y="584623"/>
          <a:ext cx="1966308" cy="357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none">
              <a:latin typeface="Times New Roman" panose="02020603050405020304" pitchFamily="18" charset="0"/>
              <a:cs typeface="Times New Roman" panose="02020603050405020304" pitchFamily="18" charset="0"/>
            </a:rPr>
            <a:t>Total</a:t>
          </a:r>
          <a:r>
            <a:rPr lang="en-US" sz="2400" b="1" u="none" baseline="0">
              <a:latin typeface="Times New Roman" panose="02020603050405020304" pitchFamily="18" charset="0"/>
              <a:cs typeface="Times New Roman" panose="02020603050405020304" pitchFamily="18" charset="0"/>
            </a:rPr>
            <a:t> Orders</a:t>
          </a:r>
          <a:endParaRPr lang="en-US" sz="2400" b="1" u="none">
            <a:latin typeface="Times New Roman" panose="02020603050405020304" pitchFamily="18" charset="0"/>
            <a:cs typeface="Times New Roman" panose="02020603050405020304" pitchFamily="18" charset="0"/>
          </a:endParaRPr>
        </a:p>
      </xdr:txBody>
    </xdr:sp>
    <xdr:clientData/>
  </xdr:twoCellAnchor>
  <xdr:twoCellAnchor>
    <xdr:from>
      <xdr:col>11</xdr:col>
      <xdr:colOff>525311</xdr:colOff>
      <xdr:row>4</xdr:row>
      <xdr:rowOff>153504</xdr:rowOff>
    </xdr:from>
    <xdr:to>
      <xdr:col>13</xdr:col>
      <xdr:colOff>117324</xdr:colOff>
      <xdr:row>7</xdr:row>
      <xdr:rowOff>69049</xdr:rowOff>
    </xdr:to>
    <xdr:sp macro="" textlink="'Pivot Table'!E16">
      <xdr:nvSpPr>
        <xdr:cNvPr id="12" name="TextBox 11">
          <a:extLst>
            <a:ext uri="{FF2B5EF4-FFF2-40B4-BE49-F238E27FC236}">
              <a16:creationId xmlns:a16="http://schemas.microsoft.com/office/drawing/2014/main" id="{0DAC3FCF-7BEA-45E1-80B5-01C6FA5A9929}"/>
            </a:ext>
          </a:extLst>
        </xdr:cNvPr>
        <xdr:cNvSpPr txBox="1"/>
      </xdr:nvSpPr>
      <xdr:spPr>
        <a:xfrm>
          <a:off x="7260847" y="879218"/>
          <a:ext cx="816656" cy="459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5F7985-E319-4ACD-BA38-58C7E5750E5D}" type="TxLink">
            <a:rPr lang="en-US" sz="2400" b="1" i="0" u="none" strike="noStrike">
              <a:solidFill>
                <a:schemeClr val="accent6"/>
              </a:solidFill>
              <a:latin typeface="Aptos Narrow"/>
              <a:cs typeface="Times New Roman" panose="02020603050405020304" pitchFamily="18" charset="0"/>
            </a:rPr>
            <a:pPr/>
            <a:t>86</a:t>
          </a:fld>
          <a:endParaRPr lang="en-US" sz="4800" b="1" u="none">
            <a:solidFill>
              <a:schemeClr val="accent6"/>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301470</xdr:colOff>
      <xdr:row>7</xdr:row>
      <xdr:rowOff>143026</xdr:rowOff>
    </xdr:from>
    <xdr:to>
      <xdr:col>10</xdr:col>
      <xdr:colOff>35577</xdr:colOff>
      <xdr:row>17</xdr:row>
      <xdr:rowOff>92226</xdr:rowOff>
    </xdr:to>
    <xdr:graphicFrame macro="">
      <xdr:nvGraphicFramePr>
        <xdr:cNvPr id="16" name="Chart 15">
          <a:extLst>
            <a:ext uri="{FF2B5EF4-FFF2-40B4-BE49-F238E27FC236}">
              <a16:creationId xmlns:a16="http://schemas.microsoft.com/office/drawing/2014/main" id="{E30DB670-C422-4597-891E-A7B69B64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189998</xdr:colOff>
      <xdr:row>7</xdr:row>
      <xdr:rowOff>143027</xdr:rowOff>
    </xdr:from>
    <xdr:to>
      <xdr:col>14</xdr:col>
      <xdr:colOff>535011</xdr:colOff>
      <xdr:row>17</xdr:row>
      <xdr:rowOff>98576</xdr:rowOff>
    </xdr:to>
    <xdr:graphicFrame macro="">
      <xdr:nvGraphicFramePr>
        <xdr:cNvPr id="17" name="Chart 16">
          <a:extLst>
            <a:ext uri="{FF2B5EF4-FFF2-40B4-BE49-F238E27FC236}">
              <a16:creationId xmlns:a16="http://schemas.microsoft.com/office/drawing/2014/main" id="{1E12BA47-51FD-435A-8002-C66B7AB21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310640</xdr:colOff>
      <xdr:row>17</xdr:row>
      <xdr:rowOff>169124</xdr:rowOff>
    </xdr:from>
    <xdr:to>
      <xdr:col>10</xdr:col>
      <xdr:colOff>63797</xdr:colOff>
      <xdr:row>29</xdr:row>
      <xdr:rowOff>68230</xdr:rowOff>
    </xdr:to>
    <xdr:graphicFrame macro="">
      <xdr:nvGraphicFramePr>
        <xdr:cNvPr id="18" name="Chart 17">
          <a:extLst>
            <a:ext uri="{FF2B5EF4-FFF2-40B4-BE49-F238E27FC236}">
              <a16:creationId xmlns:a16="http://schemas.microsoft.com/office/drawing/2014/main" id="{8447B455-C603-425F-8A23-63C61589F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133557</xdr:colOff>
      <xdr:row>12</xdr:row>
      <xdr:rowOff>2016</xdr:rowOff>
    </xdr:from>
    <xdr:to>
      <xdr:col>18</xdr:col>
      <xdr:colOff>133556</xdr:colOff>
      <xdr:row>20</xdr:row>
      <xdr:rowOff>119945</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59BF1C60-8FD1-DE47-EE3C-CE6A6D2C63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18378" y="2179159"/>
              <a:ext cx="1836964" cy="1569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125795</xdr:colOff>
      <xdr:row>1</xdr:row>
      <xdr:rowOff>64041</xdr:rowOff>
    </xdr:from>
    <xdr:to>
      <xdr:col>18</xdr:col>
      <xdr:colOff>125794</xdr:colOff>
      <xdr:row>11</xdr:row>
      <xdr:rowOff>60475</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14095A49-C2E8-A004-0CF7-2C7A7914EBB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310616" y="245470"/>
              <a:ext cx="1836964" cy="1810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172356</xdr:colOff>
      <xdr:row>17</xdr:row>
      <xdr:rowOff>155725</xdr:rowOff>
    </xdr:from>
    <xdr:to>
      <xdr:col>14</xdr:col>
      <xdr:colOff>585108</xdr:colOff>
      <xdr:row>29</xdr:row>
      <xdr:rowOff>41325</xdr:rowOff>
    </xdr:to>
    <xdr:graphicFrame macro="">
      <xdr:nvGraphicFramePr>
        <xdr:cNvPr id="22" name="Chart 21">
          <a:extLst>
            <a:ext uri="{FF2B5EF4-FFF2-40B4-BE49-F238E27FC236}">
              <a16:creationId xmlns:a16="http://schemas.microsoft.com/office/drawing/2014/main" id="{0F17647C-C6D4-4F1C-B0B0-C0F04B53E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133010</xdr:colOff>
      <xdr:row>20</xdr:row>
      <xdr:rowOff>176641</xdr:rowOff>
    </xdr:from>
    <xdr:to>
      <xdr:col>18</xdr:col>
      <xdr:colOff>143095</xdr:colOff>
      <xdr:row>29</xdr:row>
      <xdr:rowOff>105298</xdr:rowOff>
    </xdr:to>
    <mc:AlternateContent xmlns:mc="http://schemas.openxmlformats.org/markup-compatibility/2006" xmlns:a14="http://schemas.microsoft.com/office/drawing/2010/main">
      <mc:Choice Requires="a14">
        <xdr:graphicFrame macro="">
          <xdr:nvGraphicFramePr>
            <xdr:cNvPr id="23" name="Months (Date)">
              <a:extLst>
                <a:ext uri="{FF2B5EF4-FFF2-40B4-BE49-F238E27FC236}">
                  <a16:creationId xmlns:a16="http://schemas.microsoft.com/office/drawing/2014/main" id="{559F1432-FC25-EF1A-BFEB-63228FBCD38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317831" y="3805212"/>
              <a:ext cx="1847050" cy="1561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430893</xdr:colOff>
      <xdr:row>5</xdr:row>
      <xdr:rowOff>90721</xdr:rowOff>
    </xdr:from>
    <xdr:to>
      <xdr:col>6</xdr:col>
      <xdr:colOff>98270</xdr:colOff>
      <xdr:row>7</xdr:row>
      <xdr:rowOff>7563</xdr:rowOff>
    </xdr:to>
    <xdr:pic>
      <xdr:nvPicPr>
        <xdr:cNvPr id="25" name="Graphic 24" descr="Dollar with solid fill">
          <a:extLst>
            <a:ext uri="{FF2B5EF4-FFF2-40B4-BE49-F238E27FC236}">
              <a16:creationId xmlns:a16="http://schemas.microsoft.com/office/drawing/2014/main" id="{D0DDE1C2-D8F3-DA68-7F4C-0B1A73C83AB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2500" y="997864"/>
          <a:ext cx="279699" cy="2796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asir Qurashi" refreshedDate="46037.943486921293" createdVersion="8" refreshedVersion="8" minRefreshableVersion="3" recordCount="1000" xr:uid="{4F0C86EF-0230-4672-AA83-5CC315AB8490}">
  <cacheSource type="worksheet">
    <worksheetSource ref="A1:G1001" sheet="Data File"/>
  </cacheSource>
  <cacheFields count="9">
    <cacheField name="Date" numFmtId="22">
      <sharedItems containsSemiMixedTypes="0" containsNonDate="0" containsDate="1" containsString="0" minDate="2023-01-01T00:00:00" maxDate="2024-01-01T00:00:00" count="1000">
        <d v="2023-01-01T00:00:00"/>
        <d v="2023-01-01T08:44:41"/>
        <d v="2023-01-01T17:29:22"/>
        <d v="2023-01-02T02:14:03"/>
        <d v="2023-01-02T10:58:44"/>
        <d v="2023-01-02T19:43:25"/>
        <d v="2023-01-03T04:28:06"/>
        <d v="2023-01-03T13:12:48"/>
        <d v="2023-01-03T21:57:29"/>
        <d v="2023-01-04T06:42:10"/>
        <d v="2023-01-04T15:26:51"/>
        <d v="2023-01-05T00:11:32"/>
        <d v="2023-01-05T08:56:13"/>
        <d v="2023-01-05T17:40:54"/>
        <d v="2023-01-06T02:25:35"/>
        <d v="2023-01-06T11:10:16"/>
        <d v="2023-01-06T19:54:57"/>
        <d v="2023-01-07T04:39:38"/>
        <d v="2023-01-07T13:24:19"/>
        <d v="2023-01-07T22:09:01"/>
        <d v="2023-01-08T06:53:42"/>
        <d v="2023-01-08T15:38:23"/>
        <d v="2023-01-09T00:23:04"/>
        <d v="2023-01-09T09:07:45"/>
        <d v="2023-01-09T17:52:26"/>
        <d v="2023-01-10T02:37:07"/>
        <d v="2023-01-10T11:21:48"/>
        <d v="2023-01-10T20:06:29"/>
        <d v="2023-01-11T04:51:10"/>
        <d v="2023-01-11T13:35:51"/>
        <d v="2023-01-11T22:20:32"/>
        <d v="2023-01-12T07:05:14"/>
        <d v="2023-01-12T15:49:55"/>
        <d v="2023-01-13T00:34:36"/>
        <d v="2023-01-13T09:19:17"/>
        <d v="2023-01-13T18:03:58"/>
        <d v="2023-01-14T02:48:39"/>
        <d v="2023-01-14T11:33:20"/>
        <d v="2023-01-14T20:18:01"/>
        <d v="2023-01-15T05:02:42"/>
        <d v="2023-01-15T13:47:23"/>
        <d v="2023-01-15T22:32:04"/>
        <d v="2023-01-16T07:16:45"/>
        <d v="2023-01-16T16:01:26"/>
        <d v="2023-01-17T00:46:08"/>
        <d v="2023-01-17T09:30:49"/>
        <d v="2023-01-17T18:15:30"/>
        <d v="2023-01-18T03:00:11"/>
        <d v="2023-01-18T11:44:52"/>
        <d v="2023-01-18T20:29:33"/>
        <d v="2023-01-19T05:14:14"/>
        <d v="2023-01-19T13:58:55"/>
        <d v="2023-01-19T22:43:36"/>
        <d v="2023-01-20T07:28:17"/>
        <d v="2023-01-20T16:12:58"/>
        <d v="2023-01-21T00:57:39"/>
        <d v="2023-01-21T09:42:21"/>
        <d v="2023-01-21T18:27:02"/>
        <d v="2023-01-22T03:11:43"/>
        <d v="2023-01-22T11:56:24"/>
        <d v="2023-01-22T20:41:05"/>
        <d v="2023-01-23T05:25:46"/>
        <d v="2023-01-23T14:10:27"/>
        <d v="2023-01-23T22:55:08"/>
        <d v="2023-01-24T07:39:49"/>
        <d v="2023-01-24T16:24:30"/>
        <d v="2023-01-25T01:09:11"/>
        <d v="2023-01-25T09:53:52"/>
        <d v="2023-01-25T18:38:34"/>
        <d v="2023-01-26T03:23:15"/>
        <d v="2023-01-26T12:07:56"/>
        <d v="2023-01-26T20:52:37"/>
        <d v="2023-01-27T05:37:18"/>
        <d v="2023-01-27T14:21:59"/>
        <d v="2023-01-27T23:06:40"/>
        <d v="2023-01-28T07:51:21"/>
        <d v="2023-01-28T16:36:02"/>
        <d v="2023-01-29T01:20:43"/>
        <d v="2023-01-29T10:05:24"/>
        <d v="2023-01-29T18:50:05"/>
        <d v="2023-01-30T03:34:46"/>
        <d v="2023-01-30T12:19:28"/>
        <d v="2023-01-30T21:04:09"/>
        <d v="2023-01-31T05:48:50"/>
        <d v="2023-01-31T14:33:31"/>
        <d v="2023-01-31T23:18:12"/>
        <d v="2023-02-01T08:02:53"/>
        <d v="2023-02-01T16:47:34"/>
        <d v="2023-02-02T01:32:15"/>
        <d v="2023-02-02T10:16:56"/>
        <d v="2023-02-02T19:01:37"/>
        <d v="2023-02-03T03:46:18"/>
        <d v="2023-02-03T12:30:59"/>
        <d v="2023-02-03T21:15:41"/>
        <d v="2023-02-04T06:00:22"/>
        <d v="2023-02-04T14:45:03"/>
        <d v="2023-02-04T23:29:44"/>
        <d v="2023-02-05T08:14:25"/>
        <d v="2023-02-05T16:59:06"/>
        <d v="2023-02-06T01:43:47"/>
        <d v="2023-02-06T10:28:28"/>
        <d v="2023-02-06T19:13:09"/>
        <d v="2023-02-07T03:57:50"/>
        <d v="2023-02-07T12:42:31"/>
        <d v="2023-02-07T21:27:12"/>
        <d v="2023-02-08T06:11:54"/>
        <d v="2023-02-08T14:56:35"/>
        <d v="2023-02-08T23:41:16"/>
        <d v="2023-02-09T08:25:57"/>
        <d v="2023-02-09T17:10:38"/>
        <d v="2023-02-10T01:55:19"/>
        <d v="2023-02-10T10:40:00"/>
        <d v="2023-02-10T19:24:41"/>
        <d v="2023-02-11T04:09:22"/>
        <d v="2023-02-11T12:54:03"/>
        <d v="2023-02-11T21:38:44"/>
        <d v="2023-02-12T06:23:25"/>
        <d v="2023-02-12T15:08:06"/>
        <d v="2023-02-12T23:52:48"/>
        <d v="2023-02-13T08:37:29"/>
        <d v="2023-02-13T17:22:10"/>
        <d v="2023-02-14T02:06:51"/>
        <d v="2023-02-14T10:51:32"/>
        <d v="2023-02-14T19:36:13"/>
        <d v="2023-02-15T04:20:54"/>
        <d v="2023-02-15T13:05:35"/>
        <d v="2023-02-15T21:50:16"/>
        <d v="2023-02-16T06:34:57"/>
        <d v="2023-02-16T15:19:38"/>
        <d v="2023-02-17T00:04:19"/>
        <d v="2023-02-17T08:49:01"/>
        <d v="2023-02-17T17:33:42"/>
        <d v="2023-02-18T02:18:23"/>
        <d v="2023-02-18T11:03:04"/>
        <d v="2023-02-18T19:47:45"/>
        <d v="2023-02-19T04:32:26"/>
        <d v="2023-02-19T13:17:07"/>
        <d v="2023-02-19T22:01:48"/>
        <d v="2023-02-20T06:46:29"/>
        <d v="2023-02-20T15:31:10"/>
        <d v="2023-02-21T00:15:51"/>
        <d v="2023-02-21T09:00:32"/>
        <d v="2023-02-21T17:45:14"/>
        <d v="2023-02-22T02:29:55"/>
        <d v="2023-02-22T11:14:36"/>
        <d v="2023-02-22T19:59:17"/>
        <d v="2023-02-23T04:43:58"/>
        <d v="2023-02-23T13:28:39"/>
        <d v="2023-02-23T22:13:20"/>
        <d v="2023-02-24T06:58:01"/>
        <d v="2023-02-24T15:42:42"/>
        <d v="2023-02-25T00:27:23"/>
        <d v="2023-02-25T09:12:04"/>
        <d v="2023-02-25T17:56:45"/>
        <d v="2023-02-26T02:41:26"/>
        <d v="2023-02-26T11:26:08"/>
        <d v="2023-02-26T20:10:49"/>
        <d v="2023-02-27T04:55:30"/>
        <d v="2023-02-27T13:40:11"/>
        <d v="2023-02-27T22:24:52"/>
        <d v="2023-02-28T07:09:33"/>
        <d v="2023-02-28T15:54:14"/>
        <d v="2023-03-01T00:38:55"/>
        <d v="2023-03-01T09:23:36"/>
        <d v="2023-03-01T18:08:17"/>
        <d v="2023-03-02T02:52:58"/>
        <d v="2023-03-02T11:37:39"/>
        <d v="2023-03-02T20:22:21"/>
        <d v="2023-03-03T05:07:02"/>
        <d v="2023-03-03T13:51:43"/>
        <d v="2023-03-03T22:36:24"/>
        <d v="2023-03-04T07:21:05"/>
        <d v="2023-03-04T16:05:46"/>
        <d v="2023-03-05T00:50:27"/>
        <d v="2023-03-05T09:35:08"/>
        <d v="2023-03-05T18:19:49"/>
        <d v="2023-03-06T03:04:30"/>
        <d v="2023-03-06T11:49:11"/>
        <d v="2023-03-06T20:33:52"/>
        <d v="2023-03-07T05:18:34"/>
        <d v="2023-03-07T14:03:15"/>
        <d v="2023-03-07T22:47:56"/>
        <d v="2023-03-08T07:32:37"/>
        <d v="2023-03-08T16:17:18"/>
        <d v="2023-03-09T01:01:59"/>
        <d v="2023-03-09T09:46:40"/>
        <d v="2023-03-09T18:31:21"/>
        <d v="2023-03-10T03:16:02"/>
        <d v="2023-03-10T12:00:43"/>
        <d v="2023-03-10T20:45:24"/>
        <d v="2023-03-11T05:30:05"/>
        <d v="2023-03-11T14:14:46"/>
        <d v="2023-03-11T22:59:28"/>
        <d v="2023-03-12T07:44:09"/>
        <d v="2023-03-12T16:28:50"/>
        <d v="2023-03-13T01:13:31"/>
        <d v="2023-03-13T09:58:12"/>
        <d v="2023-03-13T18:42:53"/>
        <d v="2023-03-14T03:27:34"/>
        <d v="2023-03-14T12:12:15"/>
        <d v="2023-03-14T20:56:56"/>
        <d v="2023-03-15T05:41:37"/>
        <d v="2023-03-15T14:26:18"/>
        <d v="2023-03-15T23:10:59"/>
        <d v="2023-03-16T07:55:41"/>
        <d v="2023-03-16T16:40:22"/>
        <d v="2023-03-17T01:25:03"/>
        <d v="2023-03-17T10:09:44"/>
        <d v="2023-03-17T18:54:25"/>
        <d v="2023-03-18T03:39:06"/>
        <d v="2023-03-18T12:23:47"/>
        <d v="2023-03-18T21:08:28"/>
        <d v="2023-03-19T05:53:09"/>
        <d v="2023-03-19T14:37:50"/>
        <d v="2023-03-19T23:22:31"/>
        <d v="2023-03-20T08:07:12"/>
        <d v="2023-03-20T16:51:54"/>
        <d v="2023-03-21T01:36:35"/>
        <d v="2023-03-21T10:21:16"/>
        <d v="2023-03-21T19:05:57"/>
        <d v="2023-03-22T03:50:38"/>
        <d v="2023-03-22T12:35:19"/>
        <d v="2023-03-22T21:20:00"/>
        <d v="2023-03-23T06:04:41"/>
        <d v="2023-03-23T14:49:22"/>
        <d v="2023-03-23T23:34:03"/>
        <d v="2023-03-24T08:18:44"/>
        <d v="2023-03-24T17:03:25"/>
        <d v="2023-03-25T01:48:06"/>
        <d v="2023-03-25T10:32:48"/>
        <d v="2023-03-25T19:17:29"/>
        <d v="2023-03-26T04:02:10"/>
        <d v="2023-03-26T12:46:51"/>
        <d v="2023-03-26T21:31:32"/>
        <d v="2023-03-27T06:16:13"/>
        <d v="2023-03-27T15:00:54"/>
        <d v="2023-03-27T23:45:35"/>
        <d v="2023-03-28T08:30:16"/>
        <d v="2023-03-28T17:14:57"/>
        <d v="2023-03-29T01:59:38"/>
        <d v="2023-03-29T10:44:19"/>
        <d v="2023-03-29T19:29:01"/>
        <d v="2023-03-30T04:13:42"/>
        <d v="2023-03-30T12:58:23"/>
        <d v="2023-03-30T21:43:04"/>
        <d v="2023-03-31T06:27:45"/>
        <d v="2023-03-31T15:12:26"/>
        <d v="2023-03-31T23:57:07"/>
        <d v="2023-04-01T08:41:48"/>
        <d v="2023-04-01T17:26:29"/>
        <d v="2023-04-02T02:11:10"/>
        <d v="2023-04-02T10:55:51"/>
        <d v="2023-04-02T19:40:32"/>
        <d v="2023-04-03T04:25:14"/>
        <d v="2023-04-03T13:09:55"/>
        <d v="2023-04-03T21:54:36"/>
        <d v="2023-04-04T06:39:17"/>
        <d v="2023-04-04T15:23:58"/>
        <d v="2023-04-05T00:08:39"/>
        <d v="2023-04-05T08:53:20"/>
        <d v="2023-04-05T17:38:01"/>
        <d v="2023-04-06T02:22:42"/>
        <d v="2023-04-06T11:07:23"/>
        <d v="2023-04-06T19:52:04"/>
        <d v="2023-04-07T04:36:45"/>
        <d v="2023-04-07T13:21:26"/>
        <d v="2023-04-07T22:06:08"/>
        <d v="2023-04-08T06:50:49"/>
        <d v="2023-04-08T15:35:30"/>
        <d v="2023-04-09T00:20:11"/>
        <d v="2023-04-09T09:04:52"/>
        <d v="2023-04-09T17:49:33"/>
        <d v="2023-04-10T02:34:14"/>
        <d v="2023-04-10T11:18:55"/>
        <d v="2023-04-10T20:03:36"/>
        <d v="2023-04-11T04:48:17"/>
        <d v="2023-04-11T13:32:58"/>
        <d v="2023-04-11T22:17:39"/>
        <d v="2023-04-12T07:02:21"/>
        <d v="2023-04-12T15:47:02"/>
        <d v="2023-04-13T00:31:43"/>
        <d v="2023-04-13T09:16:24"/>
        <d v="2023-04-13T18:01:05"/>
        <d v="2023-04-14T02:45:46"/>
        <d v="2023-04-14T11:30:27"/>
        <d v="2023-04-14T20:15:08"/>
        <d v="2023-04-15T04:59:49"/>
        <d v="2023-04-15T13:44:30"/>
        <d v="2023-04-15T22:29:11"/>
        <d v="2023-04-16T07:13:52"/>
        <d v="2023-04-16T15:58:34"/>
        <d v="2023-04-17T00:43:15"/>
        <d v="2023-04-17T09:27:56"/>
        <d v="2023-04-17T18:12:37"/>
        <d v="2023-04-18T02:57:18"/>
        <d v="2023-04-18T11:41:59"/>
        <d v="2023-04-18T20:26:40"/>
        <d v="2023-04-19T05:11:21"/>
        <d v="2023-04-19T13:56:02"/>
        <d v="2023-04-19T22:40:43"/>
        <d v="2023-04-20T07:25:24"/>
        <d v="2023-04-20T16:10:05"/>
        <d v="2023-04-21T00:54:46"/>
        <d v="2023-04-21T09:39:28"/>
        <d v="2023-04-21T18:24:09"/>
        <d v="2023-04-22T03:08:50"/>
        <d v="2023-04-22T11:53:31"/>
        <d v="2023-04-22T20:38:12"/>
        <d v="2023-04-23T05:22:53"/>
        <d v="2023-04-23T14:07:34"/>
        <d v="2023-04-23T22:52:15"/>
        <d v="2023-04-24T07:36:56"/>
        <d v="2023-04-24T16:21:37"/>
        <d v="2023-04-25T01:06:18"/>
        <d v="2023-04-25T09:50:59"/>
        <d v="2023-04-25T18:35:41"/>
        <d v="2023-04-26T03:20:22"/>
        <d v="2023-04-26T12:05:03"/>
        <d v="2023-04-26T20:49:44"/>
        <d v="2023-04-27T05:34:25"/>
        <d v="2023-04-27T14:19:06"/>
        <d v="2023-04-27T23:03:47"/>
        <d v="2023-04-28T07:48:28"/>
        <d v="2023-04-28T16:33:09"/>
        <d v="2023-04-29T01:17:50"/>
        <d v="2023-04-29T10:02:31"/>
        <d v="2023-04-29T18:47:12"/>
        <d v="2023-04-30T03:31:54"/>
        <d v="2023-04-30T12:16:35"/>
        <d v="2023-04-30T21:01:16"/>
        <d v="2023-05-01T05:45:57"/>
        <d v="2023-05-01T14:30:38"/>
        <d v="2023-05-01T23:15:19"/>
        <d v="2023-05-02T08:00:00"/>
        <d v="2023-05-02T16:44:41"/>
        <d v="2023-05-03T01:29:22"/>
        <d v="2023-05-03T10:14:03"/>
        <d v="2023-05-03T18:58:44"/>
        <d v="2023-05-04T03:43:25"/>
        <d v="2023-05-04T12:28:06"/>
        <d v="2023-05-04T21:12:48"/>
        <d v="2023-05-05T05:57:29"/>
        <d v="2023-05-05T14:42:10"/>
        <d v="2023-05-05T23:26:51"/>
        <d v="2023-05-06T08:11:32"/>
        <d v="2023-05-06T16:56:13"/>
        <d v="2023-05-07T01:40:54"/>
        <d v="2023-05-07T10:25:35"/>
        <d v="2023-05-07T19:10:16"/>
        <d v="2023-05-08T03:54:57"/>
        <d v="2023-05-08T12:39:38"/>
        <d v="2023-05-08T21:24:19"/>
        <d v="2023-05-09T06:09:01"/>
        <d v="2023-05-09T14:53:42"/>
        <d v="2023-05-09T23:38:23"/>
        <d v="2023-05-10T08:23:04"/>
        <d v="2023-05-10T17:07:45"/>
        <d v="2023-05-11T01:52:26"/>
        <d v="2023-05-11T10:37:07"/>
        <d v="2023-05-11T19:21:48"/>
        <d v="2023-05-12T04:06:29"/>
        <d v="2023-05-12T12:51:10"/>
        <d v="2023-05-12T21:35:51"/>
        <d v="2023-05-13T06:20:32"/>
        <d v="2023-05-13T15:05:14"/>
        <d v="2023-05-13T23:49:55"/>
        <d v="2023-05-14T08:34:36"/>
        <d v="2023-05-14T17:19:17"/>
        <d v="2023-05-15T02:03:58"/>
        <d v="2023-05-15T10:48:39"/>
        <d v="2023-05-15T19:33:20"/>
        <d v="2023-05-16T04:18:01"/>
        <d v="2023-05-16T13:02:42"/>
        <d v="2023-05-16T21:47:23"/>
        <d v="2023-05-17T06:32:04"/>
        <d v="2023-05-17T15:16:45"/>
        <d v="2023-05-18T00:01:26"/>
        <d v="2023-05-18T08:46:08"/>
        <d v="2023-05-18T17:30:49"/>
        <d v="2023-05-19T02:15:30"/>
        <d v="2023-05-19T11:00:11"/>
        <d v="2023-05-19T19:44:52"/>
        <d v="2023-05-20T04:29:33"/>
        <d v="2023-05-20T13:14:14"/>
        <d v="2023-05-20T21:58:55"/>
        <d v="2023-05-21T06:43:36"/>
        <d v="2023-05-21T15:28:17"/>
        <d v="2023-05-22T00:12:58"/>
        <d v="2023-05-22T08:57:39"/>
        <d v="2023-05-22T17:42:21"/>
        <d v="2023-05-23T02:27:02"/>
        <d v="2023-05-23T11:11:43"/>
        <d v="2023-05-23T19:56:24"/>
        <d v="2023-05-24T04:41:05"/>
        <d v="2023-05-24T13:25:46"/>
        <d v="2023-05-24T22:10:27"/>
        <d v="2023-05-25T06:55:08"/>
        <d v="2023-05-25T15:39:49"/>
        <d v="2023-05-26T00:24:30"/>
        <d v="2023-05-26T09:09:11"/>
        <d v="2023-05-26T17:53:52"/>
        <d v="2023-05-27T02:38:34"/>
        <d v="2023-05-27T11:23:15"/>
        <d v="2023-05-27T20:07:56"/>
        <d v="2023-05-28T04:52:37"/>
        <d v="2023-05-28T13:37:18"/>
        <d v="2023-05-28T22:21:59"/>
        <d v="2023-05-29T07:06:40"/>
        <d v="2023-05-29T15:51:21"/>
        <d v="2023-05-30T00:36:02"/>
        <d v="2023-05-30T09:20:43"/>
        <d v="2023-05-30T18:05:24"/>
        <d v="2023-05-31T02:50:05"/>
        <d v="2023-05-31T11:34:46"/>
        <d v="2023-05-31T20:19:28"/>
        <d v="2023-06-01T05:04:09"/>
        <d v="2023-06-01T13:48:50"/>
        <d v="2023-06-01T22:33:31"/>
        <d v="2023-06-02T07:18:12"/>
        <d v="2023-06-02T16:02:53"/>
        <d v="2023-06-03T00:47:34"/>
        <d v="2023-06-03T09:32:15"/>
        <d v="2023-06-03T18:16:56"/>
        <d v="2023-06-04T03:01:37"/>
        <d v="2023-06-04T11:46:18"/>
        <d v="2023-06-04T20:30:59"/>
        <d v="2023-06-05T05:15:41"/>
        <d v="2023-06-05T14:00:22"/>
        <d v="2023-06-05T22:45:03"/>
        <d v="2023-06-06T07:29:44"/>
        <d v="2023-06-06T16:14:25"/>
        <d v="2023-06-07T00:59:06"/>
        <d v="2023-06-07T09:43:47"/>
        <d v="2023-06-07T18:28:28"/>
        <d v="2023-06-08T03:13:09"/>
        <d v="2023-06-08T11:57:50"/>
        <d v="2023-06-08T20:42:31"/>
        <d v="2023-06-09T05:27:12"/>
        <d v="2023-06-09T14:11:54"/>
        <d v="2023-06-09T22:56:35"/>
        <d v="2023-06-10T07:41:16"/>
        <d v="2023-06-10T16:25:57"/>
        <d v="2023-06-11T01:10:38"/>
        <d v="2023-06-11T09:55:19"/>
        <d v="2023-06-11T18:40:00"/>
        <d v="2023-06-12T03:24:41"/>
        <d v="2023-06-12T12:09:22"/>
        <d v="2023-06-12T20:54:03"/>
        <d v="2023-06-13T05:38:44"/>
        <d v="2023-06-13T14:23:25"/>
        <d v="2023-06-13T23:08:06"/>
        <d v="2023-06-14T07:52:48"/>
        <d v="2023-06-14T16:37:29"/>
        <d v="2023-06-15T01:22:10"/>
        <d v="2023-06-15T10:06:51"/>
        <d v="2023-06-15T18:51:32"/>
        <d v="2023-06-16T03:36:13"/>
        <d v="2023-06-16T12:20:54"/>
        <d v="2023-06-16T21:05:35"/>
        <d v="2023-06-17T05:50:16"/>
        <d v="2023-06-17T14:34:57"/>
        <d v="2023-06-17T23:19:38"/>
        <d v="2023-06-18T08:04:19"/>
        <d v="2023-06-18T16:49:01"/>
        <d v="2023-06-19T01:33:42"/>
        <d v="2023-06-19T10:18:23"/>
        <d v="2023-06-19T19:03:04"/>
        <d v="2023-06-20T03:47:45"/>
        <d v="2023-06-20T12:32:26"/>
        <d v="2023-06-20T21:17:07"/>
        <d v="2023-06-21T06:01:48"/>
        <d v="2023-06-21T14:46:29"/>
        <d v="2023-06-21T23:31:10"/>
        <d v="2023-06-22T08:15:51"/>
        <d v="2023-06-22T17:00:32"/>
        <d v="2023-06-23T01:45:14"/>
        <d v="2023-06-23T10:29:55"/>
        <d v="2023-06-23T19:14:36"/>
        <d v="2023-06-24T03:59:17"/>
        <d v="2023-06-24T12:43:58"/>
        <d v="2023-06-24T21:28:39"/>
        <d v="2023-06-25T06:13:20"/>
        <d v="2023-06-25T14:58:01"/>
        <d v="2023-06-25T23:42:42"/>
        <d v="2023-06-26T08:27:23"/>
        <d v="2023-06-26T17:12:04"/>
        <d v="2023-06-27T01:56:45"/>
        <d v="2023-06-27T10:41:26"/>
        <d v="2023-06-27T19:26:08"/>
        <d v="2023-06-28T04:10:49"/>
        <d v="2023-06-28T12:55:30"/>
        <d v="2023-06-28T21:40:11"/>
        <d v="2023-06-29T06:24:52"/>
        <d v="2023-06-29T15:09:33"/>
        <d v="2023-06-29T23:54:14"/>
        <d v="2023-06-30T08:38:55"/>
        <d v="2023-06-30T17:23:36"/>
        <d v="2023-07-01T02:08:17"/>
        <d v="2023-07-01T10:52:58"/>
        <d v="2023-07-01T19:37:39"/>
        <d v="2023-07-02T04:22:21"/>
        <d v="2023-07-02T13:07:02"/>
        <d v="2023-07-02T21:51:43"/>
        <d v="2023-07-03T06:36:24"/>
        <d v="2023-07-03T15:21:05"/>
        <d v="2023-07-04T00:05:46"/>
        <d v="2023-07-04T08:50:27"/>
        <d v="2023-07-04T17:35:08"/>
        <d v="2023-07-05T02:19:49"/>
        <d v="2023-07-05T11:04:30"/>
        <d v="2023-07-05T19:49:11"/>
        <d v="2023-07-06T04:33:52"/>
        <d v="2023-07-06T13:18:34"/>
        <d v="2023-07-06T22:03:15"/>
        <d v="2023-07-07T06:47:56"/>
        <d v="2023-07-07T15:32:37"/>
        <d v="2023-07-08T00:17:18"/>
        <d v="2023-07-08T09:01:59"/>
        <d v="2023-07-08T17:46:40"/>
        <d v="2023-07-09T02:31:21"/>
        <d v="2023-07-09T11:16:02"/>
        <d v="2023-07-09T20:00:43"/>
        <d v="2023-07-10T04:45:24"/>
        <d v="2023-07-10T13:30:05"/>
        <d v="2023-07-10T22:14:46"/>
        <d v="2023-07-11T06:59:28"/>
        <d v="2023-07-11T15:44:09"/>
        <d v="2023-07-12T00:28:50"/>
        <d v="2023-07-12T09:13:31"/>
        <d v="2023-07-12T17:58:12"/>
        <d v="2023-07-13T02:42:53"/>
        <d v="2023-07-13T11:27:34"/>
        <d v="2023-07-13T20:12:15"/>
        <d v="2023-07-14T04:56:56"/>
        <d v="2023-07-14T13:41:37"/>
        <d v="2023-07-14T22:26:18"/>
        <d v="2023-07-15T07:10:59"/>
        <d v="2023-07-15T15:55:41"/>
        <d v="2023-07-16T00:40:22"/>
        <d v="2023-07-16T09:25:03"/>
        <d v="2023-07-16T18:09:44"/>
        <d v="2023-07-17T02:54:25"/>
        <d v="2023-07-17T11:39:06"/>
        <d v="2023-07-17T20:23:47"/>
        <d v="2023-07-18T05:08:28"/>
        <d v="2023-07-18T13:53:09"/>
        <d v="2023-07-18T22:37:50"/>
        <d v="2023-07-19T07:22:31"/>
        <d v="2023-07-19T16:07:12"/>
        <d v="2023-07-20T00:51:54"/>
        <d v="2023-07-20T09:36:35"/>
        <d v="2023-07-20T18:21:16"/>
        <d v="2023-07-21T03:05:57"/>
        <d v="2023-07-21T11:50:38"/>
        <d v="2023-07-21T20:35:19"/>
        <d v="2023-07-22T05:20:00"/>
        <d v="2023-07-22T14:04:41"/>
        <d v="2023-07-22T22:49:22"/>
        <d v="2023-07-23T07:34:03"/>
        <d v="2023-07-23T16:18:44"/>
        <d v="2023-07-24T01:03:25"/>
        <d v="2023-07-24T09:48:06"/>
        <d v="2023-07-24T18:32:48"/>
        <d v="2023-07-25T03:17:29"/>
        <d v="2023-07-25T12:02:10"/>
        <d v="2023-07-25T20:46:51"/>
        <d v="2023-07-26T05:31:32"/>
        <d v="2023-07-26T14:16:13"/>
        <d v="2023-07-26T23:00:54"/>
        <d v="2023-07-27T07:45:35"/>
        <d v="2023-07-27T16:30:16"/>
        <d v="2023-07-28T01:14:57"/>
        <d v="2023-07-28T09:59:38"/>
        <d v="2023-07-28T18:44:19"/>
        <d v="2023-07-29T03:29:01"/>
        <d v="2023-07-29T12:13:42"/>
        <d v="2023-07-29T20:58:23"/>
        <d v="2023-07-30T05:43:04"/>
        <d v="2023-07-30T14:27:45"/>
        <d v="2023-07-30T23:12:26"/>
        <d v="2023-07-31T07:57:07"/>
        <d v="2023-07-31T16:41:48"/>
        <d v="2023-08-01T01:26:29"/>
        <d v="2023-08-01T10:11:10"/>
        <d v="2023-08-01T18:55:51"/>
        <d v="2023-08-02T03:40:32"/>
        <d v="2023-08-02T12:25:14"/>
        <d v="2023-08-02T21:09:55"/>
        <d v="2023-08-03T05:54:36"/>
        <d v="2023-08-03T14:39:17"/>
        <d v="2023-08-03T23:23:58"/>
        <d v="2023-08-04T08:08:39"/>
        <d v="2023-08-04T16:53:20"/>
        <d v="2023-08-05T01:38:01"/>
        <d v="2023-08-05T10:22:42"/>
        <d v="2023-08-05T19:07:23"/>
        <d v="2023-08-06T03:52:04"/>
        <d v="2023-08-06T12:36:45"/>
        <d v="2023-08-06T21:21:26"/>
        <d v="2023-08-07T06:06:08"/>
        <d v="2023-08-07T14:50:49"/>
        <d v="2023-08-07T23:35:30"/>
        <d v="2023-08-08T08:20:11"/>
        <d v="2023-08-08T17:04:52"/>
        <d v="2023-08-09T01:49:33"/>
        <d v="2023-08-09T10:34:14"/>
        <d v="2023-08-09T19:18:55"/>
        <d v="2023-08-10T04:03:36"/>
        <d v="2023-08-10T12:48:17"/>
        <d v="2023-08-10T21:32:58"/>
        <d v="2023-08-11T06:17:39"/>
        <d v="2023-08-11T15:02:21"/>
        <d v="2023-08-11T23:47:02"/>
        <d v="2023-08-12T08:31:43"/>
        <d v="2023-08-12T17:16:24"/>
        <d v="2023-08-13T02:01:05"/>
        <d v="2023-08-13T10:45:46"/>
        <d v="2023-08-13T19:30:27"/>
        <d v="2023-08-14T04:15:08"/>
        <d v="2023-08-14T12:59:49"/>
        <d v="2023-08-14T21:44:30"/>
        <d v="2023-08-15T06:29:11"/>
        <d v="2023-08-15T15:13:52"/>
        <d v="2023-08-15T23:58:34"/>
        <d v="2023-08-16T08:43:15"/>
        <d v="2023-08-16T17:27:56"/>
        <d v="2023-08-17T02:12:37"/>
        <d v="2023-08-17T10:57:18"/>
        <d v="2023-08-17T19:41:59"/>
        <d v="2023-08-18T04:26:40"/>
        <d v="2023-08-18T13:11:21"/>
        <d v="2023-08-18T21:56:02"/>
        <d v="2023-08-19T06:40:43"/>
        <d v="2023-08-19T15:25:24"/>
        <d v="2023-08-20T00:10:05"/>
        <d v="2023-08-20T08:54:46"/>
        <d v="2023-08-20T17:39:28"/>
        <d v="2023-08-21T02:24:09"/>
        <d v="2023-08-21T11:08:50"/>
        <d v="2023-08-21T19:53:31"/>
        <d v="2023-08-22T04:38:12"/>
        <d v="2023-08-22T13:22:53"/>
        <d v="2023-08-22T22:07:34"/>
        <d v="2023-08-23T06:52:15"/>
        <d v="2023-08-23T15:36:56"/>
        <d v="2023-08-24T00:21:37"/>
        <d v="2023-08-24T09:06:18"/>
        <d v="2023-08-24T17:50:59"/>
        <d v="2023-08-25T02:35:41"/>
        <d v="2023-08-25T11:20:22"/>
        <d v="2023-08-25T20:05:03"/>
        <d v="2023-08-26T04:49:44"/>
        <d v="2023-08-26T13:34:25"/>
        <d v="2023-08-26T22:19:06"/>
        <d v="2023-08-27T07:03:47"/>
        <d v="2023-08-27T15:48:28"/>
        <d v="2023-08-28T00:33:09"/>
        <d v="2023-08-28T09:17:50"/>
        <d v="2023-08-28T18:02:31"/>
        <d v="2023-08-29T02:47:12"/>
        <d v="2023-08-29T11:31:54"/>
        <d v="2023-08-29T20:16:35"/>
        <d v="2023-08-30T05:01:16"/>
        <d v="2023-08-30T13:45:57"/>
        <d v="2023-08-30T22:30:38"/>
        <d v="2023-08-31T07:15:19"/>
        <d v="2023-08-31T16:00:00"/>
        <d v="2023-09-01T00:44:41"/>
        <d v="2023-09-01T09:29:22"/>
        <d v="2023-09-01T18:14:03"/>
        <d v="2023-09-02T02:58:44"/>
        <d v="2023-09-02T11:43:25"/>
        <d v="2023-09-02T20:28:06"/>
        <d v="2023-09-03T05:12:48"/>
        <d v="2023-09-03T13:57:29"/>
        <d v="2023-09-03T22:42:10"/>
        <d v="2023-09-04T07:26:51"/>
        <d v="2023-09-04T16:11:32"/>
        <d v="2023-09-05T00:56:13"/>
        <d v="2023-09-05T09:40:54"/>
        <d v="2023-09-05T18:25:35"/>
        <d v="2023-09-06T03:10:16"/>
        <d v="2023-09-06T11:54:57"/>
        <d v="2023-09-06T20:39:38"/>
        <d v="2023-09-07T05:24:19"/>
        <d v="2023-09-07T14:09:01"/>
        <d v="2023-09-07T22:53:42"/>
        <d v="2023-09-08T07:38:23"/>
        <d v="2023-09-08T16:23:04"/>
        <d v="2023-09-09T01:07:45"/>
        <d v="2023-09-09T09:52:26"/>
        <d v="2023-09-09T18:37:07"/>
        <d v="2023-09-10T03:21:48"/>
        <d v="2023-09-10T12:06:29"/>
        <d v="2023-09-10T20:51:10"/>
        <d v="2023-09-11T05:35:51"/>
        <d v="2023-09-11T14:20:32"/>
        <d v="2023-09-11T23:05:14"/>
        <d v="2023-09-12T07:49:55"/>
        <d v="2023-09-12T16:34:36"/>
        <d v="2023-09-13T01:19:17"/>
        <d v="2023-09-13T10:03:58"/>
        <d v="2023-09-13T18:48:39"/>
        <d v="2023-09-14T03:33:20"/>
        <d v="2023-09-14T12:18:01"/>
        <d v="2023-09-14T21:02:42"/>
        <d v="2023-09-15T05:47:23"/>
        <d v="2023-09-15T14:32:04"/>
        <d v="2023-09-15T23:16:45"/>
        <d v="2023-09-16T08:01:26"/>
        <d v="2023-09-16T16:46:08"/>
        <d v="2023-09-17T01:30:49"/>
        <d v="2023-09-17T10:15:30"/>
        <d v="2023-09-17T19:00:11"/>
        <d v="2023-09-18T03:44:52"/>
        <d v="2023-09-18T12:29:33"/>
        <d v="2023-09-18T21:14:14"/>
        <d v="2023-09-19T05:58:55"/>
        <d v="2023-09-19T14:43:36"/>
        <d v="2023-09-19T23:28:17"/>
        <d v="2023-09-20T08:12:58"/>
        <d v="2023-09-20T16:57:39"/>
        <d v="2023-09-21T01:42:21"/>
        <d v="2023-09-21T10:27:02"/>
        <d v="2023-09-21T19:11:43"/>
        <d v="2023-09-22T03:56:24"/>
        <d v="2023-09-22T12:41:05"/>
        <d v="2023-09-22T21:25:46"/>
        <d v="2023-09-23T06:10:27"/>
        <d v="2023-09-23T14:55:08"/>
        <d v="2023-09-23T23:39:49"/>
        <d v="2023-09-24T08:24:30"/>
        <d v="2023-09-24T17:09:11"/>
        <d v="2023-09-25T01:53:52"/>
        <d v="2023-09-25T10:38:34"/>
        <d v="2023-09-25T19:23:15"/>
        <d v="2023-09-26T04:07:56"/>
        <d v="2023-09-26T12:52:37"/>
        <d v="2023-09-26T21:37:18"/>
        <d v="2023-09-27T06:21:59"/>
        <d v="2023-09-27T15:06:40"/>
        <d v="2023-09-27T23:51:21"/>
        <d v="2023-09-28T08:36:02"/>
        <d v="2023-09-28T17:20:43"/>
        <d v="2023-09-29T02:05:24"/>
        <d v="2023-09-29T10:50:05"/>
        <d v="2023-09-29T19:34:46"/>
        <d v="2023-09-30T04:19:28"/>
        <d v="2023-09-30T13:04:09"/>
        <d v="2023-09-30T21:48:50"/>
        <d v="2023-10-01T06:33:31"/>
        <d v="2023-10-01T15:18:12"/>
        <d v="2023-10-02T00:02:53"/>
        <d v="2023-10-02T08:47:34"/>
        <d v="2023-10-02T17:32:15"/>
        <d v="2023-10-03T02:16:56"/>
        <d v="2023-10-03T11:01:37"/>
        <d v="2023-10-03T19:46:18"/>
        <d v="2023-10-04T04:30:59"/>
        <d v="2023-10-04T13:15:41"/>
        <d v="2023-10-04T22:00:22"/>
        <d v="2023-10-05T06:45:03"/>
        <d v="2023-10-05T15:29:44"/>
        <d v="2023-10-06T00:14:25"/>
        <d v="2023-10-06T08:59:06"/>
        <d v="2023-10-06T17:43:47"/>
        <d v="2023-10-07T02:28:28"/>
        <d v="2023-10-07T11:13:09"/>
        <d v="2023-10-07T19:57:50"/>
        <d v="2023-10-08T04:42:31"/>
        <d v="2023-10-08T13:27:12"/>
        <d v="2023-10-08T22:11:54"/>
        <d v="2023-10-09T06:56:35"/>
        <d v="2023-10-09T15:41:16"/>
        <d v="2023-10-10T00:25:57"/>
        <d v="2023-10-10T09:10:38"/>
        <d v="2023-10-10T17:55:19"/>
        <d v="2023-10-11T02:40:00"/>
        <d v="2023-10-11T11:24:41"/>
        <d v="2023-10-11T20:09:22"/>
        <d v="2023-10-12T04:54:03"/>
        <d v="2023-10-12T13:38:44"/>
        <d v="2023-10-12T22:23:25"/>
        <d v="2023-10-13T07:08:06"/>
        <d v="2023-10-13T15:52:48"/>
        <d v="2023-10-14T00:37:29"/>
        <d v="2023-10-14T09:22:10"/>
        <d v="2023-10-14T18:06:51"/>
        <d v="2023-10-15T02:51:32"/>
        <d v="2023-10-15T11:36:13"/>
        <d v="2023-10-15T20:20:54"/>
        <d v="2023-10-16T05:05:35"/>
        <d v="2023-10-16T13:50:16"/>
        <d v="2023-10-16T22:34:57"/>
        <d v="2023-10-17T07:19:38"/>
        <d v="2023-10-17T16:04:19"/>
        <d v="2023-10-18T00:49:01"/>
        <d v="2023-10-18T09:33:42"/>
        <d v="2023-10-18T18:18:23"/>
        <d v="2023-10-19T03:03:04"/>
        <d v="2023-10-19T11:47:45"/>
        <d v="2023-10-19T20:32:26"/>
        <d v="2023-10-20T05:17:07"/>
        <d v="2023-10-20T14:01:48"/>
        <d v="2023-10-20T22:46:29"/>
        <d v="2023-10-21T07:31:10"/>
        <d v="2023-10-21T16:15:51"/>
        <d v="2023-10-22T01:00:32"/>
        <d v="2023-10-22T09:45:14"/>
        <d v="2023-10-22T18:29:55"/>
        <d v="2023-10-23T03:14:36"/>
        <d v="2023-10-23T11:59:17"/>
        <d v="2023-10-23T20:43:58"/>
        <d v="2023-10-24T05:28:39"/>
        <d v="2023-10-24T14:13:20"/>
        <d v="2023-10-24T22:58:01"/>
        <d v="2023-10-25T07:42:42"/>
        <d v="2023-10-25T16:27:23"/>
        <d v="2023-10-26T01:12:04"/>
        <d v="2023-10-26T09:56:45"/>
        <d v="2023-10-26T18:41:26"/>
        <d v="2023-10-27T03:26:08"/>
        <d v="2023-10-27T12:10:49"/>
        <d v="2023-10-27T20:55:30"/>
        <d v="2023-10-28T05:40:11"/>
        <d v="2023-10-28T14:24:52"/>
        <d v="2023-10-28T23:09:33"/>
        <d v="2023-10-29T07:54:14"/>
        <d v="2023-10-29T16:38:55"/>
        <d v="2023-10-30T01:23:36"/>
        <d v="2023-10-30T10:08:17"/>
        <d v="2023-10-30T18:52:58"/>
        <d v="2023-10-31T03:37:39"/>
        <d v="2023-10-31T12:22:21"/>
        <d v="2023-10-31T21:07:02"/>
        <d v="2023-11-01T05:51:43"/>
        <d v="2023-11-01T14:36:24"/>
        <d v="2023-11-01T23:21:05"/>
        <d v="2023-11-02T08:05:46"/>
        <d v="2023-11-02T16:50:27"/>
        <d v="2023-11-03T01:35:08"/>
        <d v="2023-11-03T10:19:49"/>
        <d v="2023-11-03T19:04:30"/>
        <d v="2023-11-04T03:49:11"/>
        <d v="2023-11-04T12:33:52"/>
        <d v="2023-11-04T21:18:34"/>
        <d v="2023-11-05T06:03:15"/>
        <d v="2023-11-05T14:47:56"/>
        <d v="2023-11-05T23:32:37"/>
        <d v="2023-11-06T08:17:18"/>
        <d v="2023-11-06T17:01:59"/>
        <d v="2023-11-07T01:46:40"/>
        <d v="2023-11-07T10:31:21"/>
        <d v="2023-11-07T19:16:02"/>
        <d v="2023-11-08T04:00:43"/>
        <d v="2023-11-08T12:45:24"/>
        <d v="2023-11-08T21:30:05"/>
        <d v="2023-11-09T06:14:46"/>
        <d v="2023-11-09T14:59:28"/>
        <d v="2023-11-09T23:44:09"/>
        <d v="2023-11-10T08:28:50"/>
        <d v="2023-11-10T17:13:31"/>
        <d v="2023-11-11T01:58:12"/>
        <d v="2023-11-11T10:42:53"/>
        <d v="2023-11-11T19:27:34"/>
        <d v="2023-11-12T04:12:15"/>
        <d v="2023-11-12T12:56:56"/>
        <d v="2023-11-12T21:41:37"/>
        <d v="2023-11-13T06:26:18"/>
        <d v="2023-11-13T15:10:59"/>
        <d v="2023-11-13T23:55:41"/>
        <d v="2023-11-14T08:40:22"/>
        <d v="2023-11-14T17:25:03"/>
        <d v="2023-11-15T02:09:44"/>
        <d v="2023-11-15T10:54:25"/>
        <d v="2023-11-15T19:39:06"/>
        <d v="2023-11-16T04:23:47"/>
        <d v="2023-11-16T13:08:28"/>
        <d v="2023-11-16T21:53:09"/>
        <d v="2023-11-17T06:37:50"/>
        <d v="2023-11-17T15:22:31"/>
        <d v="2023-11-18T00:07:12"/>
        <d v="2023-11-18T08:51:54"/>
        <d v="2023-11-18T17:36:35"/>
        <d v="2023-11-19T02:21:16"/>
        <d v="2023-11-19T11:05:57"/>
        <d v="2023-11-19T19:50:38"/>
        <d v="2023-11-20T04:35:19"/>
        <d v="2023-11-20T13:20:00"/>
        <d v="2023-11-20T22:04:41"/>
        <d v="2023-11-21T06:49:22"/>
        <d v="2023-11-21T15:34:03"/>
        <d v="2023-11-22T00:18:44"/>
        <d v="2023-11-22T09:03:25"/>
        <d v="2023-11-22T17:48:06"/>
        <d v="2023-11-23T02:32:48"/>
        <d v="2023-11-23T11:17:29"/>
        <d v="2023-11-23T20:02:10"/>
        <d v="2023-11-24T04:46:51"/>
        <d v="2023-11-24T13:31:32"/>
        <d v="2023-11-24T22:16:13"/>
        <d v="2023-11-25T07:00:54"/>
        <d v="2023-11-25T15:45:35"/>
        <d v="2023-11-26T00:30:16"/>
        <d v="2023-11-26T09:14:57"/>
        <d v="2023-11-26T17:59:38"/>
        <d v="2023-11-27T02:44:19"/>
        <d v="2023-11-27T11:29:01"/>
        <d v="2023-11-27T20:13:42"/>
        <d v="2023-11-28T04:58:23"/>
        <d v="2023-11-28T13:43:04"/>
        <d v="2023-11-28T22:27:45"/>
        <d v="2023-11-29T07:12:26"/>
        <d v="2023-11-29T15:57:07"/>
        <d v="2023-11-30T00:41:48"/>
        <d v="2023-11-30T09:26:29"/>
        <d v="2023-11-30T18:11:10"/>
        <d v="2023-12-01T02:55:51"/>
        <d v="2023-12-01T11:40:32"/>
        <d v="2023-12-01T20:25:14"/>
        <d v="2023-12-02T05:09:55"/>
        <d v="2023-12-02T13:54:36"/>
        <d v="2023-12-02T22:39:17"/>
        <d v="2023-12-03T07:23:58"/>
        <d v="2023-12-03T16:08:39"/>
        <d v="2023-12-04T00:53:20"/>
        <d v="2023-12-04T09:38:01"/>
        <d v="2023-12-04T18:22:42"/>
        <d v="2023-12-05T03:07:23"/>
        <d v="2023-12-05T11:52:04"/>
        <d v="2023-12-05T20:36:45"/>
        <d v="2023-12-06T05:21:26"/>
        <d v="2023-12-06T14:06:08"/>
        <d v="2023-12-06T22:50:49"/>
        <d v="2023-12-07T07:35:30"/>
        <d v="2023-12-07T16:20:11"/>
        <d v="2023-12-08T01:04:52"/>
        <d v="2023-12-08T09:49:33"/>
        <d v="2023-12-08T18:34:14"/>
        <d v="2023-12-09T03:18:55"/>
        <d v="2023-12-09T12:03:36"/>
        <d v="2023-12-09T20:48:17"/>
        <d v="2023-12-10T05:32:58"/>
        <d v="2023-12-10T14:17:39"/>
        <d v="2023-12-10T23:02:21"/>
        <d v="2023-12-11T07:47:02"/>
        <d v="2023-12-11T16:31:43"/>
        <d v="2023-12-12T01:16:24"/>
        <d v="2023-12-12T10:01:05"/>
        <d v="2023-12-12T18:45:46"/>
        <d v="2023-12-13T03:30:27"/>
        <d v="2023-12-13T12:15:08"/>
        <d v="2023-12-13T20:59:49"/>
        <d v="2023-12-14T05:44:30"/>
        <d v="2023-12-14T14:29:11"/>
        <d v="2023-12-14T23:13:52"/>
        <d v="2023-12-15T07:58:34"/>
        <d v="2023-12-15T16:43:15"/>
        <d v="2023-12-16T01:27:56"/>
        <d v="2023-12-16T10:12:37"/>
        <d v="2023-12-16T18:57:18"/>
        <d v="2023-12-17T03:41:59"/>
        <d v="2023-12-17T12:26:40"/>
        <d v="2023-12-17T21:11:21"/>
        <d v="2023-12-18T05:56:02"/>
        <d v="2023-12-18T14:40:43"/>
        <d v="2023-12-18T23:25:24"/>
        <d v="2023-12-19T08:10:05"/>
        <d v="2023-12-19T16:54:46"/>
        <d v="2023-12-20T01:39:28"/>
        <d v="2023-12-20T10:24:09"/>
        <d v="2023-12-20T19:08:50"/>
        <d v="2023-12-21T03:53:31"/>
        <d v="2023-12-21T12:38:12"/>
        <d v="2023-12-21T21:22:53"/>
        <d v="2023-12-22T06:07:34"/>
        <d v="2023-12-22T14:52:15"/>
        <d v="2023-12-22T23:36:56"/>
        <d v="2023-12-23T08:21:37"/>
        <d v="2023-12-23T17:06:18"/>
        <d v="2023-12-24T01:50:59"/>
        <d v="2023-12-24T10:35:41"/>
        <d v="2023-12-24T19:20:22"/>
        <d v="2023-12-25T04:05:03"/>
        <d v="2023-12-25T12:49:44"/>
        <d v="2023-12-25T21:34:25"/>
        <d v="2023-12-26T06:19:06"/>
        <d v="2023-12-26T15:03:47"/>
        <d v="2023-12-26T23:48:28"/>
        <d v="2023-12-27T08:33:09"/>
        <d v="2023-12-27T17:17:50"/>
        <d v="2023-12-28T02:02:31"/>
        <d v="2023-12-28T10:47:12"/>
        <d v="2023-12-28T19:31:54"/>
        <d v="2023-12-29T04:16:35"/>
        <d v="2023-12-29T13:01:16"/>
        <d v="2023-12-29T21:45:57"/>
        <d v="2023-12-30T06:30:38"/>
        <d v="2023-12-30T15:15:19"/>
        <d v="2023-12-31T00:00:00"/>
      </sharedItems>
      <fieldGroup par="8"/>
    </cacheField>
    <cacheField name="Region" numFmtId="0">
      <sharedItems count="4">
        <s v="Islamabad"/>
        <s v="Lahore"/>
        <s v="Sialkot"/>
        <s v="Karachi"/>
      </sharedItems>
    </cacheField>
    <cacheField name="Product" numFmtId="0">
      <sharedItems count="5">
        <s v="Iphone"/>
        <s v="Samsung"/>
        <s v="Redmi"/>
        <s v="Vivo"/>
        <s v="Techno"/>
      </sharedItems>
    </cacheField>
    <cacheField name="Salesperson" numFmtId="0">
      <sharedItems count="6">
        <s v="Haseeb"/>
        <s v="Shahbaz"/>
        <s v="Umair"/>
        <s v="Zeeshan"/>
        <s v="Yasir"/>
        <s v="Zain"/>
      </sharedItems>
    </cacheField>
    <cacheField name="Quantity" numFmtId="0">
      <sharedItems containsSemiMixedTypes="0" containsString="0" containsNumber="1" containsInteger="1" minValue="1" maxValue="19" count="19">
        <n v="13"/>
        <n v="1"/>
        <n v="17"/>
        <n v="6"/>
        <n v="4"/>
        <n v="16"/>
        <n v="15"/>
        <n v="14"/>
        <n v="11"/>
        <n v="7"/>
        <n v="9"/>
        <n v="5"/>
        <n v="10"/>
        <n v="18"/>
        <n v="3"/>
        <n v="19"/>
        <n v="12"/>
        <n v="2"/>
        <n v="8"/>
      </sharedItems>
    </cacheField>
    <cacheField name="Unit_Price" numFmtId="0">
      <sharedItems containsSemiMixedTypes="0" containsString="0" containsNumber="1" containsInteger="1" minValue="5112" maxValue="74906"/>
    </cacheField>
    <cacheField name="Revenue" numFmtId="0">
      <sharedItems containsSemiMixedTypes="0" containsString="0" containsNumber="1" containsInteger="1" minValue="5336" maxValue="1360951"/>
    </cacheField>
    <cacheField name="Days (Date)" numFmtId="0" databaseField="0">
      <fieldGroup base="0">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numFmtId="0" databaseField="0">
      <fieldGroup base="0">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797217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68064"/>
    <n v="884832"/>
  </r>
  <r>
    <x v="1"/>
    <x v="1"/>
    <x v="0"/>
    <x v="0"/>
    <x v="1"/>
    <n v="68761"/>
    <n v="68761"/>
  </r>
  <r>
    <x v="2"/>
    <x v="2"/>
    <x v="0"/>
    <x v="0"/>
    <x v="2"/>
    <n v="43870"/>
    <n v="745790"/>
  </r>
  <r>
    <x v="3"/>
    <x v="0"/>
    <x v="1"/>
    <x v="1"/>
    <x v="3"/>
    <n v="35873"/>
    <n v="215238"/>
  </r>
  <r>
    <x v="4"/>
    <x v="0"/>
    <x v="2"/>
    <x v="2"/>
    <x v="4"/>
    <n v="63627"/>
    <n v="254508"/>
  </r>
  <r>
    <x v="5"/>
    <x v="1"/>
    <x v="1"/>
    <x v="3"/>
    <x v="5"/>
    <n v="71155"/>
    <n v="1138480"/>
  </r>
  <r>
    <x v="6"/>
    <x v="2"/>
    <x v="2"/>
    <x v="4"/>
    <x v="6"/>
    <n v="30372"/>
    <n v="455580"/>
  </r>
  <r>
    <x v="7"/>
    <x v="2"/>
    <x v="1"/>
    <x v="3"/>
    <x v="6"/>
    <n v="8642"/>
    <n v="129630"/>
  </r>
  <r>
    <x v="8"/>
    <x v="0"/>
    <x v="1"/>
    <x v="3"/>
    <x v="3"/>
    <n v="33001"/>
    <n v="198006"/>
  </r>
  <r>
    <x v="9"/>
    <x v="3"/>
    <x v="3"/>
    <x v="5"/>
    <x v="6"/>
    <n v="39064"/>
    <n v="585960"/>
  </r>
  <r>
    <x v="10"/>
    <x v="0"/>
    <x v="1"/>
    <x v="2"/>
    <x v="7"/>
    <n v="19122"/>
    <n v="267708"/>
  </r>
  <r>
    <x v="11"/>
    <x v="0"/>
    <x v="4"/>
    <x v="5"/>
    <x v="8"/>
    <n v="29820"/>
    <n v="328020"/>
  </r>
  <r>
    <x v="12"/>
    <x v="0"/>
    <x v="3"/>
    <x v="2"/>
    <x v="9"/>
    <n v="73431"/>
    <n v="514017"/>
  </r>
  <r>
    <x v="13"/>
    <x v="0"/>
    <x v="1"/>
    <x v="2"/>
    <x v="10"/>
    <n v="60745"/>
    <n v="546705"/>
  </r>
  <r>
    <x v="14"/>
    <x v="1"/>
    <x v="0"/>
    <x v="0"/>
    <x v="5"/>
    <n v="55081"/>
    <n v="881296"/>
  </r>
  <r>
    <x v="15"/>
    <x v="2"/>
    <x v="4"/>
    <x v="1"/>
    <x v="11"/>
    <n v="13711"/>
    <n v="68555"/>
  </r>
  <r>
    <x v="16"/>
    <x v="1"/>
    <x v="4"/>
    <x v="0"/>
    <x v="12"/>
    <n v="23793"/>
    <n v="237930"/>
  </r>
  <r>
    <x v="17"/>
    <x v="1"/>
    <x v="4"/>
    <x v="1"/>
    <x v="13"/>
    <n v="13199"/>
    <n v="237582"/>
  </r>
  <r>
    <x v="18"/>
    <x v="1"/>
    <x v="3"/>
    <x v="5"/>
    <x v="14"/>
    <n v="41191"/>
    <n v="123573"/>
  </r>
  <r>
    <x v="19"/>
    <x v="0"/>
    <x v="1"/>
    <x v="1"/>
    <x v="0"/>
    <n v="15211"/>
    <n v="197743"/>
  </r>
  <r>
    <x v="20"/>
    <x v="3"/>
    <x v="1"/>
    <x v="5"/>
    <x v="8"/>
    <n v="68069"/>
    <n v="748759"/>
  </r>
  <r>
    <x v="21"/>
    <x v="2"/>
    <x v="0"/>
    <x v="3"/>
    <x v="2"/>
    <n v="61746"/>
    <n v="1049682"/>
  </r>
  <r>
    <x v="22"/>
    <x v="3"/>
    <x v="0"/>
    <x v="3"/>
    <x v="0"/>
    <n v="26542"/>
    <n v="345046"/>
  </r>
  <r>
    <x v="23"/>
    <x v="1"/>
    <x v="4"/>
    <x v="1"/>
    <x v="3"/>
    <n v="36312"/>
    <n v="217872"/>
  </r>
  <r>
    <x v="24"/>
    <x v="1"/>
    <x v="0"/>
    <x v="1"/>
    <x v="2"/>
    <n v="50242"/>
    <n v="854114"/>
  </r>
  <r>
    <x v="25"/>
    <x v="3"/>
    <x v="3"/>
    <x v="5"/>
    <x v="0"/>
    <n v="60388"/>
    <n v="785044"/>
  </r>
  <r>
    <x v="26"/>
    <x v="3"/>
    <x v="1"/>
    <x v="0"/>
    <x v="15"/>
    <n v="32691"/>
    <n v="621129"/>
  </r>
  <r>
    <x v="27"/>
    <x v="3"/>
    <x v="4"/>
    <x v="5"/>
    <x v="15"/>
    <n v="27601"/>
    <n v="524419"/>
  </r>
  <r>
    <x v="28"/>
    <x v="1"/>
    <x v="0"/>
    <x v="0"/>
    <x v="12"/>
    <n v="23020"/>
    <n v="230200"/>
  </r>
  <r>
    <x v="29"/>
    <x v="1"/>
    <x v="3"/>
    <x v="3"/>
    <x v="14"/>
    <n v="13155"/>
    <n v="39465"/>
  </r>
  <r>
    <x v="30"/>
    <x v="2"/>
    <x v="3"/>
    <x v="2"/>
    <x v="7"/>
    <n v="74119"/>
    <n v="1037666"/>
  </r>
  <r>
    <x v="31"/>
    <x v="2"/>
    <x v="0"/>
    <x v="1"/>
    <x v="15"/>
    <n v="41777"/>
    <n v="793763"/>
  </r>
  <r>
    <x v="32"/>
    <x v="1"/>
    <x v="1"/>
    <x v="0"/>
    <x v="11"/>
    <n v="24710"/>
    <n v="123550"/>
  </r>
  <r>
    <x v="33"/>
    <x v="3"/>
    <x v="0"/>
    <x v="5"/>
    <x v="11"/>
    <n v="29532"/>
    <n v="147660"/>
  </r>
  <r>
    <x v="34"/>
    <x v="3"/>
    <x v="4"/>
    <x v="3"/>
    <x v="2"/>
    <n v="23601"/>
    <n v="401217"/>
  </r>
  <r>
    <x v="35"/>
    <x v="2"/>
    <x v="0"/>
    <x v="0"/>
    <x v="12"/>
    <n v="68227"/>
    <n v="682270"/>
  </r>
  <r>
    <x v="36"/>
    <x v="1"/>
    <x v="3"/>
    <x v="5"/>
    <x v="11"/>
    <n v="9967"/>
    <n v="49835"/>
  </r>
  <r>
    <x v="37"/>
    <x v="2"/>
    <x v="0"/>
    <x v="1"/>
    <x v="4"/>
    <n v="25022"/>
    <n v="100088"/>
  </r>
  <r>
    <x v="38"/>
    <x v="2"/>
    <x v="1"/>
    <x v="1"/>
    <x v="3"/>
    <n v="48463"/>
    <n v="290778"/>
  </r>
  <r>
    <x v="39"/>
    <x v="0"/>
    <x v="2"/>
    <x v="4"/>
    <x v="4"/>
    <n v="10722"/>
    <n v="42888"/>
  </r>
  <r>
    <x v="40"/>
    <x v="0"/>
    <x v="0"/>
    <x v="2"/>
    <x v="9"/>
    <n v="32413"/>
    <n v="226891"/>
  </r>
  <r>
    <x v="41"/>
    <x v="0"/>
    <x v="1"/>
    <x v="4"/>
    <x v="9"/>
    <n v="71732"/>
    <n v="502124"/>
  </r>
  <r>
    <x v="42"/>
    <x v="3"/>
    <x v="1"/>
    <x v="3"/>
    <x v="13"/>
    <n v="17297"/>
    <n v="311346"/>
  </r>
  <r>
    <x v="43"/>
    <x v="1"/>
    <x v="3"/>
    <x v="0"/>
    <x v="14"/>
    <n v="73323"/>
    <n v="219969"/>
  </r>
  <r>
    <x v="44"/>
    <x v="1"/>
    <x v="1"/>
    <x v="3"/>
    <x v="1"/>
    <n v="28816"/>
    <n v="28816"/>
  </r>
  <r>
    <x v="45"/>
    <x v="1"/>
    <x v="1"/>
    <x v="5"/>
    <x v="4"/>
    <n v="45695"/>
    <n v="182780"/>
  </r>
  <r>
    <x v="46"/>
    <x v="1"/>
    <x v="1"/>
    <x v="1"/>
    <x v="3"/>
    <n v="24702"/>
    <n v="148212"/>
  </r>
  <r>
    <x v="47"/>
    <x v="0"/>
    <x v="1"/>
    <x v="4"/>
    <x v="10"/>
    <n v="30242"/>
    <n v="272178"/>
  </r>
  <r>
    <x v="48"/>
    <x v="3"/>
    <x v="4"/>
    <x v="4"/>
    <x v="7"/>
    <n v="60841"/>
    <n v="851774"/>
  </r>
  <r>
    <x v="49"/>
    <x v="3"/>
    <x v="4"/>
    <x v="4"/>
    <x v="16"/>
    <n v="72712"/>
    <n v="872544"/>
  </r>
  <r>
    <x v="50"/>
    <x v="0"/>
    <x v="3"/>
    <x v="3"/>
    <x v="4"/>
    <n v="58574"/>
    <n v="234296"/>
  </r>
  <r>
    <x v="51"/>
    <x v="3"/>
    <x v="0"/>
    <x v="1"/>
    <x v="16"/>
    <n v="33482"/>
    <n v="401784"/>
  </r>
  <r>
    <x v="52"/>
    <x v="0"/>
    <x v="1"/>
    <x v="0"/>
    <x v="12"/>
    <n v="14171"/>
    <n v="141710"/>
  </r>
  <r>
    <x v="53"/>
    <x v="1"/>
    <x v="0"/>
    <x v="5"/>
    <x v="9"/>
    <n v="8696"/>
    <n v="60872"/>
  </r>
  <r>
    <x v="54"/>
    <x v="0"/>
    <x v="0"/>
    <x v="0"/>
    <x v="14"/>
    <n v="25058"/>
    <n v="75174"/>
  </r>
  <r>
    <x v="55"/>
    <x v="1"/>
    <x v="3"/>
    <x v="3"/>
    <x v="7"/>
    <n v="25313"/>
    <n v="354382"/>
  </r>
  <r>
    <x v="56"/>
    <x v="1"/>
    <x v="1"/>
    <x v="5"/>
    <x v="12"/>
    <n v="24149"/>
    <n v="241490"/>
  </r>
  <r>
    <x v="57"/>
    <x v="2"/>
    <x v="1"/>
    <x v="4"/>
    <x v="5"/>
    <n v="58521"/>
    <n v="936336"/>
  </r>
  <r>
    <x v="58"/>
    <x v="0"/>
    <x v="2"/>
    <x v="2"/>
    <x v="5"/>
    <n v="50740"/>
    <n v="811840"/>
  </r>
  <r>
    <x v="59"/>
    <x v="2"/>
    <x v="0"/>
    <x v="3"/>
    <x v="12"/>
    <n v="9956"/>
    <n v="99560"/>
  </r>
  <r>
    <x v="60"/>
    <x v="0"/>
    <x v="0"/>
    <x v="3"/>
    <x v="0"/>
    <n v="71641"/>
    <n v="931333"/>
  </r>
  <r>
    <x v="61"/>
    <x v="0"/>
    <x v="4"/>
    <x v="1"/>
    <x v="3"/>
    <n v="68811"/>
    <n v="412866"/>
  </r>
  <r>
    <x v="62"/>
    <x v="2"/>
    <x v="2"/>
    <x v="0"/>
    <x v="16"/>
    <n v="57160"/>
    <n v="685920"/>
  </r>
  <r>
    <x v="63"/>
    <x v="2"/>
    <x v="4"/>
    <x v="3"/>
    <x v="10"/>
    <n v="56313"/>
    <n v="506817"/>
  </r>
  <r>
    <x v="64"/>
    <x v="0"/>
    <x v="4"/>
    <x v="3"/>
    <x v="0"/>
    <n v="68232"/>
    <n v="887016"/>
  </r>
  <r>
    <x v="65"/>
    <x v="3"/>
    <x v="4"/>
    <x v="4"/>
    <x v="4"/>
    <n v="20417"/>
    <n v="81668"/>
  </r>
  <r>
    <x v="66"/>
    <x v="1"/>
    <x v="3"/>
    <x v="4"/>
    <x v="8"/>
    <n v="29729"/>
    <n v="327019"/>
  </r>
  <r>
    <x v="67"/>
    <x v="2"/>
    <x v="3"/>
    <x v="5"/>
    <x v="13"/>
    <n v="35099"/>
    <n v="631782"/>
  </r>
  <r>
    <x v="68"/>
    <x v="1"/>
    <x v="4"/>
    <x v="2"/>
    <x v="8"/>
    <n v="34961"/>
    <n v="384571"/>
  </r>
  <r>
    <x v="69"/>
    <x v="3"/>
    <x v="2"/>
    <x v="1"/>
    <x v="4"/>
    <n v="17602"/>
    <n v="70408"/>
  </r>
  <r>
    <x v="70"/>
    <x v="3"/>
    <x v="0"/>
    <x v="2"/>
    <x v="13"/>
    <n v="14256"/>
    <n v="256608"/>
  </r>
  <r>
    <x v="71"/>
    <x v="3"/>
    <x v="2"/>
    <x v="5"/>
    <x v="1"/>
    <n v="39681"/>
    <n v="39681"/>
  </r>
  <r>
    <x v="72"/>
    <x v="2"/>
    <x v="1"/>
    <x v="4"/>
    <x v="9"/>
    <n v="69789"/>
    <n v="488523"/>
  </r>
  <r>
    <x v="73"/>
    <x v="3"/>
    <x v="3"/>
    <x v="0"/>
    <x v="3"/>
    <n v="48361"/>
    <n v="290166"/>
  </r>
  <r>
    <x v="74"/>
    <x v="2"/>
    <x v="0"/>
    <x v="4"/>
    <x v="6"/>
    <n v="69503"/>
    <n v="1042545"/>
  </r>
  <r>
    <x v="75"/>
    <x v="3"/>
    <x v="0"/>
    <x v="1"/>
    <x v="13"/>
    <n v="39540"/>
    <n v="711720"/>
  </r>
  <r>
    <x v="76"/>
    <x v="1"/>
    <x v="1"/>
    <x v="4"/>
    <x v="8"/>
    <n v="31536"/>
    <n v="346896"/>
  </r>
  <r>
    <x v="77"/>
    <x v="1"/>
    <x v="1"/>
    <x v="1"/>
    <x v="6"/>
    <n v="68043"/>
    <n v="1020645"/>
  </r>
  <r>
    <x v="78"/>
    <x v="0"/>
    <x v="4"/>
    <x v="1"/>
    <x v="5"/>
    <n v="61575"/>
    <n v="985200"/>
  </r>
  <r>
    <x v="79"/>
    <x v="1"/>
    <x v="3"/>
    <x v="1"/>
    <x v="9"/>
    <n v="7871"/>
    <n v="55097"/>
  </r>
  <r>
    <x v="80"/>
    <x v="0"/>
    <x v="3"/>
    <x v="5"/>
    <x v="12"/>
    <n v="51002"/>
    <n v="510020"/>
  </r>
  <r>
    <x v="81"/>
    <x v="1"/>
    <x v="2"/>
    <x v="1"/>
    <x v="16"/>
    <n v="54812"/>
    <n v="657744"/>
  </r>
  <r>
    <x v="82"/>
    <x v="2"/>
    <x v="4"/>
    <x v="1"/>
    <x v="7"/>
    <n v="27626"/>
    <n v="386764"/>
  </r>
  <r>
    <x v="83"/>
    <x v="1"/>
    <x v="4"/>
    <x v="0"/>
    <x v="11"/>
    <n v="64979"/>
    <n v="324895"/>
  </r>
  <r>
    <x v="84"/>
    <x v="0"/>
    <x v="4"/>
    <x v="2"/>
    <x v="13"/>
    <n v="71668"/>
    <n v="1290024"/>
  </r>
  <r>
    <x v="85"/>
    <x v="0"/>
    <x v="4"/>
    <x v="3"/>
    <x v="11"/>
    <n v="47998"/>
    <n v="239990"/>
  </r>
  <r>
    <x v="86"/>
    <x v="3"/>
    <x v="3"/>
    <x v="2"/>
    <x v="14"/>
    <n v="68814"/>
    <n v="206442"/>
  </r>
  <r>
    <x v="87"/>
    <x v="2"/>
    <x v="3"/>
    <x v="1"/>
    <x v="11"/>
    <n v="50607"/>
    <n v="253035"/>
  </r>
  <r>
    <x v="88"/>
    <x v="1"/>
    <x v="4"/>
    <x v="0"/>
    <x v="2"/>
    <n v="12812"/>
    <n v="217804"/>
  </r>
  <r>
    <x v="89"/>
    <x v="3"/>
    <x v="2"/>
    <x v="4"/>
    <x v="15"/>
    <n v="66844"/>
    <n v="1270036"/>
  </r>
  <r>
    <x v="90"/>
    <x v="1"/>
    <x v="0"/>
    <x v="0"/>
    <x v="15"/>
    <n v="7179"/>
    <n v="136401"/>
  </r>
  <r>
    <x v="91"/>
    <x v="1"/>
    <x v="0"/>
    <x v="1"/>
    <x v="16"/>
    <n v="48798"/>
    <n v="585576"/>
  </r>
  <r>
    <x v="92"/>
    <x v="3"/>
    <x v="2"/>
    <x v="0"/>
    <x v="10"/>
    <n v="13275"/>
    <n v="119475"/>
  </r>
  <r>
    <x v="93"/>
    <x v="3"/>
    <x v="4"/>
    <x v="0"/>
    <x v="1"/>
    <n v="55574"/>
    <n v="55574"/>
  </r>
  <r>
    <x v="94"/>
    <x v="3"/>
    <x v="3"/>
    <x v="1"/>
    <x v="13"/>
    <n v="52857"/>
    <n v="951426"/>
  </r>
  <r>
    <x v="95"/>
    <x v="3"/>
    <x v="0"/>
    <x v="5"/>
    <x v="4"/>
    <n v="25700"/>
    <n v="102800"/>
  </r>
  <r>
    <x v="96"/>
    <x v="3"/>
    <x v="1"/>
    <x v="0"/>
    <x v="12"/>
    <n v="44464"/>
    <n v="444640"/>
  </r>
  <r>
    <x v="97"/>
    <x v="1"/>
    <x v="1"/>
    <x v="3"/>
    <x v="9"/>
    <n v="47351"/>
    <n v="331457"/>
  </r>
  <r>
    <x v="98"/>
    <x v="3"/>
    <x v="2"/>
    <x v="3"/>
    <x v="1"/>
    <n v="18869"/>
    <n v="18869"/>
  </r>
  <r>
    <x v="99"/>
    <x v="2"/>
    <x v="4"/>
    <x v="0"/>
    <x v="2"/>
    <n v="65315"/>
    <n v="1110355"/>
  </r>
  <r>
    <x v="100"/>
    <x v="0"/>
    <x v="0"/>
    <x v="5"/>
    <x v="17"/>
    <n v="25954"/>
    <n v="51908"/>
  </r>
  <r>
    <x v="101"/>
    <x v="3"/>
    <x v="4"/>
    <x v="4"/>
    <x v="8"/>
    <n v="36555"/>
    <n v="402105"/>
  </r>
  <r>
    <x v="102"/>
    <x v="3"/>
    <x v="0"/>
    <x v="1"/>
    <x v="10"/>
    <n v="68353"/>
    <n v="615177"/>
  </r>
  <r>
    <x v="103"/>
    <x v="1"/>
    <x v="2"/>
    <x v="3"/>
    <x v="9"/>
    <n v="50026"/>
    <n v="350182"/>
  </r>
  <r>
    <x v="104"/>
    <x v="3"/>
    <x v="2"/>
    <x v="4"/>
    <x v="2"/>
    <n v="51976"/>
    <n v="883592"/>
  </r>
  <r>
    <x v="105"/>
    <x v="3"/>
    <x v="1"/>
    <x v="0"/>
    <x v="2"/>
    <n v="50095"/>
    <n v="851615"/>
  </r>
  <r>
    <x v="106"/>
    <x v="3"/>
    <x v="4"/>
    <x v="4"/>
    <x v="17"/>
    <n v="19270"/>
    <n v="38540"/>
  </r>
  <r>
    <x v="107"/>
    <x v="1"/>
    <x v="1"/>
    <x v="2"/>
    <x v="3"/>
    <n v="35908"/>
    <n v="215448"/>
  </r>
  <r>
    <x v="108"/>
    <x v="3"/>
    <x v="4"/>
    <x v="3"/>
    <x v="7"/>
    <n v="20523"/>
    <n v="287322"/>
  </r>
  <r>
    <x v="109"/>
    <x v="0"/>
    <x v="1"/>
    <x v="0"/>
    <x v="3"/>
    <n v="67433"/>
    <n v="404598"/>
  </r>
  <r>
    <x v="110"/>
    <x v="1"/>
    <x v="3"/>
    <x v="1"/>
    <x v="17"/>
    <n v="52068"/>
    <n v="104136"/>
  </r>
  <r>
    <x v="111"/>
    <x v="0"/>
    <x v="3"/>
    <x v="5"/>
    <x v="1"/>
    <n v="24991"/>
    <n v="24991"/>
  </r>
  <r>
    <x v="112"/>
    <x v="1"/>
    <x v="3"/>
    <x v="0"/>
    <x v="12"/>
    <n v="15775"/>
    <n v="157750"/>
  </r>
  <r>
    <x v="113"/>
    <x v="3"/>
    <x v="3"/>
    <x v="1"/>
    <x v="11"/>
    <n v="66250"/>
    <n v="331250"/>
  </r>
  <r>
    <x v="114"/>
    <x v="0"/>
    <x v="0"/>
    <x v="5"/>
    <x v="17"/>
    <n v="21673"/>
    <n v="43346"/>
  </r>
  <r>
    <x v="115"/>
    <x v="1"/>
    <x v="3"/>
    <x v="5"/>
    <x v="5"/>
    <n v="32056"/>
    <n v="512896"/>
  </r>
  <r>
    <x v="116"/>
    <x v="2"/>
    <x v="2"/>
    <x v="0"/>
    <x v="17"/>
    <n v="11614"/>
    <n v="23228"/>
  </r>
  <r>
    <x v="117"/>
    <x v="3"/>
    <x v="2"/>
    <x v="4"/>
    <x v="12"/>
    <n v="12415"/>
    <n v="124150"/>
  </r>
  <r>
    <x v="118"/>
    <x v="1"/>
    <x v="0"/>
    <x v="4"/>
    <x v="17"/>
    <n v="48884"/>
    <n v="97768"/>
  </r>
  <r>
    <x v="119"/>
    <x v="2"/>
    <x v="3"/>
    <x v="5"/>
    <x v="5"/>
    <n v="21964"/>
    <n v="351424"/>
  </r>
  <r>
    <x v="120"/>
    <x v="1"/>
    <x v="3"/>
    <x v="4"/>
    <x v="5"/>
    <n v="42726"/>
    <n v="683616"/>
  </r>
  <r>
    <x v="121"/>
    <x v="2"/>
    <x v="3"/>
    <x v="2"/>
    <x v="15"/>
    <n v="42044"/>
    <n v="798836"/>
  </r>
  <r>
    <x v="122"/>
    <x v="3"/>
    <x v="1"/>
    <x v="5"/>
    <x v="9"/>
    <n v="62149"/>
    <n v="435043"/>
  </r>
  <r>
    <x v="123"/>
    <x v="0"/>
    <x v="4"/>
    <x v="5"/>
    <x v="16"/>
    <n v="42544"/>
    <n v="510528"/>
  </r>
  <r>
    <x v="124"/>
    <x v="2"/>
    <x v="1"/>
    <x v="1"/>
    <x v="6"/>
    <n v="54976"/>
    <n v="824640"/>
  </r>
  <r>
    <x v="125"/>
    <x v="1"/>
    <x v="4"/>
    <x v="4"/>
    <x v="18"/>
    <n v="37252"/>
    <n v="298016"/>
  </r>
  <r>
    <x v="126"/>
    <x v="3"/>
    <x v="3"/>
    <x v="5"/>
    <x v="3"/>
    <n v="8832"/>
    <n v="52992"/>
  </r>
  <r>
    <x v="127"/>
    <x v="2"/>
    <x v="3"/>
    <x v="2"/>
    <x v="12"/>
    <n v="39148"/>
    <n v="391480"/>
  </r>
  <r>
    <x v="128"/>
    <x v="1"/>
    <x v="1"/>
    <x v="1"/>
    <x v="14"/>
    <n v="66240"/>
    <n v="198720"/>
  </r>
  <r>
    <x v="129"/>
    <x v="1"/>
    <x v="1"/>
    <x v="0"/>
    <x v="15"/>
    <n v="58459"/>
    <n v="1110721"/>
  </r>
  <r>
    <x v="130"/>
    <x v="1"/>
    <x v="4"/>
    <x v="5"/>
    <x v="2"/>
    <n v="43402"/>
    <n v="737834"/>
  </r>
  <r>
    <x v="131"/>
    <x v="2"/>
    <x v="2"/>
    <x v="2"/>
    <x v="9"/>
    <n v="62727"/>
    <n v="439089"/>
  </r>
  <r>
    <x v="132"/>
    <x v="2"/>
    <x v="4"/>
    <x v="3"/>
    <x v="4"/>
    <n v="43578"/>
    <n v="174312"/>
  </r>
  <r>
    <x v="133"/>
    <x v="2"/>
    <x v="1"/>
    <x v="2"/>
    <x v="7"/>
    <n v="27318"/>
    <n v="382452"/>
  </r>
  <r>
    <x v="134"/>
    <x v="0"/>
    <x v="1"/>
    <x v="2"/>
    <x v="6"/>
    <n v="25466"/>
    <n v="381990"/>
  </r>
  <r>
    <x v="135"/>
    <x v="2"/>
    <x v="0"/>
    <x v="1"/>
    <x v="18"/>
    <n v="50475"/>
    <n v="403800"/>
  </r>
  <r>
    <x v="136"/>
    <x v="2"/>
    <x v="1"/>
    <x v="0"/>
    <x v="6"/>
    <n v="65142"/>
    <n v="977130"/>
  </r>
  <r>
    <x v="137"/>
    <x v="2"/>
    <x v="0"/>
    <x v="3"/>
    <x v="7"/>
    <n v="31564"/>
    <n v="441896"/>
  </r>
  <r>
    <x v="138"/>
    <x v="0"/>
    <x v="2"/>
    <x v="4"/>
    <x v="10"/>
    <n v="27412"/>
    <n v="246708"/>
  </r>
  <r>
    <x v="139"/>
    <x v="2"/>
    <x v="4"/>
    <x v="4"/>
    <x v="18"/>
    <n v="56001"/>
    <n v="448008"/>
  </r>
  <r>
    <x v="140"/>
    <x v="1"/>
    <x v="4"/>
    <x v="2"/>
    <x v="2"/>
    <n v="62649"/>
    <n v="1065033"/>
  </r>
  <r>
    <x v="141"/>
    <x v="2"/>
    <x v="0"/>
    <x v="1"/>
    <x v="17"/>
    <n v="65957"/>
    <n v="131914"/>
  </r>
  <r>
    <x v="142"/>
    <x v="1"/>
    <x v="4"/>
    <x v="1"/>
    <x v="14"/>
    <n v="40517"/>
    <n v="121551"/>
  </r>
  <r>
    <x v="143"/>
    <x v="1"/>
    <x v="1"/>
    <x v="4"/>
    <x v="18"/>
    <n v="18156"/>
    <n v="145248"/>
  </r>
  <r>
    <x v="144"/>
    <x v="1"/>
    <x v="3"/>
    <x v="3"/>
    <x v="16"/>
    <n v="28064"/>
    <n v="336768"/>
  </r>
  <r>
    <x v="145"/>
    <x v="0"/>
    <x v="0"/>
    <x v="0"/>
    <x v="1"/>
    <n v="30711"/>
    <n v="30711"/>
  </r>
  <r>
    <x v="146"/>
    <x v="0"/>
    <x v="4"/>
    <x v="3"/>
    <x v="12"/>
    <n v="35106"/>
    <n v="351060"/>
  </r>
  <r>
    <x v="147"/>
    <x v="0"/>
    <x v="0"/>
    <x v="5"/>
    <x v="14"/>
    <n v="70458"/>
    <n v="211374"/>
  </r>
  <r>
    <x v="148"/>
    <x v="2"/>
    <x v="0"/>
    <x v="5"/>
    <x v="3"/>
    <n v="21589"/>
    <n v="129534"/>
  </r>
  <r>
    <x v="149"/>
    <x v="1"/>
    <x v="3"/>
    <x v="0"/>
    <x v="9"/>
    <n v="12214"/>
    <n v="85498"/>
  </r>
  <r>
    <x v="150"/>
    <x v="0"/>
    <x v="1"/>
    <x v="4"/>
    <x v="13"/>
    <n v="32127"/>
    <n v="578286"/>
  </r>
  <r>
    <x v="151"/>
    <x v="0"/>
    <x v="0"/>
    <x v="0"/>
    <x v="8"/>
    <n v="10141"/>
    <n v="111551"/>
  </r>
  <r>
    <x v="152"/>
    <x v="2"/>
    <x v="4"/>
    <x v="1"/>
    <x v="15"/>
    <n v="33884"/>
    <n v="643796"/>
  </r>
  <r>
    <x v="153"/>
    <x v="0"/>
    <x v="2"/>
    <x v="5"/>
    <x v="11"/>
    <n v="7708"/>
    <n v="38540"/>
  </r>
  <r>
    <x v="154"/>
    <x v="2"/>
    <x v="0"/>
    <x v="2"/>
    <x v="15"/>
    <n v="23375"/>
    <n v="444125"/>
  </r>
  <r>
    <x v="155"/>
    <x v="3"/>
    <x v="0"/>
    <x v="2"/>
    <x v="8"/>
    <n v="20088"/>
    <n v="220968"/>
  </r>
  <r>
    <x v="156"/>
    <x v="0"/>
    <x v="3"/>
    <x v="4"/>
    <x v="16"/>
    <n v="62615"/>
    <n v="751380"/>
  </r>
  <r>
    <x v="157"/>
    <x v="3"/>
    <x v="1"/>
    <x v="1"/>
    <x v="12"/>
    <n v="50046"/>
    <n v="500460"/>
  </r>
  <r>
    <x v="158"/>
    <x v="2"/>
    <x v="2"/>
    <x v="3"/>
    <x v="18"/>
    <n v="15014"/>
    <n v="120112"/>
  </r>
  <r>
    <x v="159"/>
    <x v="1"/>
    <x v="4"/>
    <x v="1"/>
    <x v="10"/>
    <n v="69425"/>
    <n v="624825"/>
  </r>
  <r>
    <x v="160"/>
    <x v="0"/>
    <x v="2"/>
    <x v="2"/>
    <x v="4"/>
    <n v="8273"/>
    <n v="33092"/>
  </r>
  <r>
    <x v="161"/>
    <x v="2"/>
    <x v="4"/>
    <x v="2"/>
    <x v="11"/>
    <n v="52135"/>
    <n v="260675"/>
  </r>
  <r>
    <x v="162"/>
    <x v="1"/>
    <x v="1"/>
    <x v="5"/>
    <x v="18"/>
    <n v="35881"/>
    <n v="287048"/>
  </r>
  <r>
    <x v="163"/>
    <x v="1"/>
    <x v="4"/>
    <x v="1"/>
    <x v="10"/>
    <n v="13712"/>
    <n v="123408"/>
  </r>
  <r>
    <x v="164"/>
    <x v="3"/>
    <x v="3"/>
    <x v="1"/>
    <x v="6"/>
    <n v="57874"/>
    <n v="868110"/>
  </r>
  <r>
    <x v="165"/>
    <x v="2"/>
    <x v="3"/>
    <x v="2"/>
    <x v="6"/>
    <n v="74087"/>
    <n v="1111305"/>
  </r>
  <r>
    <x v="166"/>
    <x v="1"/>
    <x v="3"/>
    <x v="3"/>
    <x v="5"/>
    <n v="17297"/>
    <n v="276752"/>
  </r>
  <r>
    <x v="167"/>
    <x v="0"/>
    <x v="3"/>
    <x v="4"/>
    <x v="7"/>
    <n v="32128"/>
    <n v="449792"/>
  </r>
  <r>
    <x v="168"/>
    <x v="0"/>
    <x v="2"/>
    <x v="4"/>
    <x v="18"/>
    <n v="73368"/>
    <n v="586944"/>
  </r>
  <r>
    <x v="169"/>
    <x v="3"/>
    <x v="1"/>
    <x v="1"/>
    <x v="13"/>
    <n v="37920"/>
    <n v="682560"/>
  </r>
  <r>
    <x v="170"/>
    <x v="1"/>
    <x v="4"/>
    <x v="4"/>
    <x v="12"/>
    <n v="16156"/>
    <n v="161560"/>
  </r>
  <r>
    <x v="171"/>
    <x v="2"/>
    <x v="4"/>
    <x v="2"/>
    <x v="3"/>
    <n v="16108"/>
    <n v="96648"/>
  </r>
  <r>
    <x v="172"/>
    <x v="0"/>
    <x v="3"/>
    <x v="2"/>
    <x v="16"/>
    <n v="36845"/>
    <n v="442140"/>
  </r>
  <r>
    <x v="173"/>
    <x v="1"/>
    <x v="3"/>
    <x v="1"/>
    <x v="17"/>
    <n v="7800"/>
    <n v="15600"/>
  </r>
  <r>
    <x v="174"/>
    <x v="1"/>
    <x v="0"/>
    <x v="1"/>
    <x v="9"/>
    <n v="47712"/>
    <n v="333984"/>
  </r>
  <r>
    <x v="175"/>
    <x v="3"/>
    <x v="1"/>
    <x v="5"/>
    <x v="5"/>
    <n v="7610"/>
    <n v="121760"/>
  </r>
  <r>
    <x v="176"/>
    <x v="0"/>
    <x v="2"/>
    <x v="1"/>
    <x v="14"/>
    <n v="38872"/>
    <n v="116616"/>
  </r>
  <r>
    <x v="177"/>
    <x v="0"/>
    <x v="4"/>
    <x v="3"/>
    <x v="0"/>
    <n v="15728"/>
    <n v="204464"/>
  </r>
  <r>
    <x v="178"/>
    <x v="2"/>
    <x v="0"/>
    <x v="4"/>
    <x v="14"/>
    <n v="25583"/>
    <n v="76749"/>
  </r>
  <r>
    <x v="179"/>
    <x v="0"/>
    <x v="0"/>
    <x v="1"/>
    <x v="13"/>
    <n v="12263"/>
    <n v="220734"/>
  </r>
  <r>
    <x v="180"/>
    <x v="2"/>
    <x v="4"/>
    <x v="0"/>
    <x v="8"/>
    <n v="72450"/>
    <n v="796950"/>
  </r>
  <r>
    <x v="181"/>
    <x v="0"/>
    <x v="2"/>
    <x v="5"/>
    <x v="18"/>
    <n v="24456"/>
    <n v="195648"/>
  </r>
  <r>
    <x v="182"/>
    <x v="3"/>
    <x v="0"/>
    <x v="0"/>
    <x v="3"/>
    <n v="70942"/>
    <n v="425652"/>
  </r>
  <r>
    <x v="183"/>
    <x v="0"/>
    <x v="0"/>
    <x v="2"/>
    <x v="1"/>
    <n v="18689"/>
    <n v="18689"/>
  </r>
  <r>
    <x v="184"/>
    <x v="2"/>
    <x v="1"/>
    <x v="4"/>
    <x v="1"/>
    <n v="37934"/>
    <n v="37934"/>
  </r>
  <r>
    <x v="185"/>
    <x v="2"/>
    <x v="2"/>
    <x v="1"/>
    <x v="18"/>
    <n v="38276"/>
    <n v="306208"/>
  </r>
  <r>
    <x v="186"/>
    <x v="3"/>
    <x v="0"/>
    <x v="0"/>
    <x v="11"/>
    <n v="24873"/>
    <n v="124365"/>
  </r>
  <r>
    <x v="187"/>
    <x v="0"/>
    <x v="2"/>
    <x v="4"/>
    <x v="5"/>
    <n v="18050"/>
    <n v="288800"/>
  </r>
  <r>
    <x v="188"/>
    <x v="0"/>
    <x v="4"/>
    <x v="2"/>
    <x v="8"/>
    <n v="71216"/>
    <n v="783376"/>
  </r>
  <r>
    <x v="189"/>
    <x v="3"/>
    <x v="3"/>
    <x v="3"/>
    <x v="11"/>
    <n v="26644"/>
    <n v="133220"/>
  </r>
  <r>
    <x v="190"/>
    <x v="0"/>
    <x v="0"/>
    <x v="5"/>
    <x v="4"/>
    <n v="67021"/>
    <n v="268084"/>
  </r>
  <r>
    <x v="191"/>
    <x v="0"/>
    <x v="1"/>
    <x v="4"/>
    <x v="3"/>
    <n v="42125"/>
    <n v="252750"/>
  </r>
  <r>
    <x v="192"/>
    <x v="2"/>
    <x v="4"/>
    <x v="4"/>
    <x v="7"/>
    <n v="71899"/>
    <n v="1006586"/>
  </r>
  <r>
    <x v="193"/>
    <x v="0"/>
    <x v="2"/>
    <x v="3"/>
    <x v="15"/>
    <n v="47291"/>
    <n v="898529"/>
  </r>
  <r>
    <x v="194"/>
    <x v="0"/>
    <x v="4"/>
    <x v="4"/>
    <x v="10"/>
    <n v="40060"/>
    <n v="360540"/>
  </r>
  <r>
    <x v="195"/>
    <x v="3"/>
    <x v="0"/>
    <x v="2"/>
    <x v="16"/>
    <n v="6538"/>
    <n v="78456"/>
  </r>
  <r>
    <x v="196"/>
    <x v="3"/>
    <x v="2"/>
    <x v="2"/>
    <x v="8"/>
    <n v="41176"/>
    <n v="452936"/>
  </r>
  <r>
    <x v="197"/>
    <x v="1"/>
    <x v="3"/>
    <x v="3"/>
    <x v="7"/>
    <n v="46520"/>
    <n v="651280"/>
  </r>
  <r>
    <x v="198"/>
    <x v="2"/>
    <x v="4"/>
    <x v="5"/>
    <x v="5"/>
    <n v="30675"/>
    <n v="490800"/>
  </r>
  <r>
    <x v="199"/>
    <x v="0"/>
    <x v="0"/>
    <x v="1"/>
    <x v="1"/>
    <n v="23287"/>
    <n v="23287"/>
  </r>
  <r>
    <x v="200"/>
    <x v="0"/>
    <x v="1"/>
    <x v="0"/>
    <x v="0"/>
    <n v="5174"/>
    <n v="67262"/>
  </r>
  <r>
    <x v="201"/>
    <x v="1"/>
    <x v="2"/>
    <x v="1"/>
    <x v="0"/>
    <n v="39998"/>
    <n v="519974"/>
  </r>
  <r>
    <x v="202"/>
    <x v="0"/>
    <x v="4"/>
    <x v="4"/>
    <x v="17"/>
    <n v="58312"/>
    <n v="116624"/>
  </r>
  <r>
    <x v="203"/>
    <x v="2"/>
    <x v="4"/>
    <x v="0"/>
    <x v="4"/>
    <n v="17112"/>
    <n v="68448"/>
  </r>
  <r>
    <x v="204"/>
    <x v="1"/>
    <x v="3"/>
    <x v="3"/>
    <x v="3"/>
    <n v="49814"/>
    <n v="298884"/>
  </r>
  <r>
    <x v="205"/>
    <x v="2"/>
    <x v="3"/>
    <x v="3"/>
    <x v="11"/>
    <n v="55719"/>
    <n v="278595"/>
  </r>
  <r>
    <x v="206"/>
    <x v="1"/>
    <x v="1"/>
    <x v="5"/>
    <x v="14"/>
    <n v="38919"/>
    <n v="116757"/>
  </r>
  <r>
    <x v="207"/>
    <x v="1"/>
    <x v="1"/>
    <x v="0"/>
    <x v="1"/>
    <n v="46328"/>
    <n v="46328"/>
  </r>
  <r>
    <x v="208"/>
    <x v="3"/>
    <x v="0"/>
    <x v="2"/>
    <x v="4"/>
    <n v="29618"/>
    <n v="118472"/>
  </r>
  <r>
    <x v="209"/>
    <x v="2"/>
    <x v="0"/>
    <x v="0"/>
    <x v="17"/>
    <n v="39675"/>
    <n v="79350"/>
  </r>
  <r>
    <x v="210"/>
    <x v="0"/>
    <x v="1"/>
    <x v="4"/>
    <x v="11"/>
    <n v="23919"/>
    <n v="119595"/>
  </r>
  <r>
    <x v="211"/>
    <x v="0"/>
    <x v="1"/>
    <x v="2"/>
    <x v="14"/>
    <n v="9173"/>
    <n v="27519"/>
  </r>
  <r>
    <x v="212"/>
    <x v="2"/>
    <x v="2"/>
    <x v="3"/>
    <x v="10"/>
    <n v="31400"/>
    <n v="282600"/>
  </r>
  <r>
    <x v="213"/>
    <x v="0"/>
    <x v="3"/>
    <x v="0"/>
    <x v="3"/>
    <n v="55445"/>
    <n v="332670"/>
  </r>
  <r>
    <x v="214"/>
    <x v="0"/>
    <x v="0"/>
    <x v="1"/>
    <x v="13"/>
    <n v="42564"/>
    <n v="766152"/>
  </r>
  <r>
    <x v="215"/>
    <x v="2"/>
    <x v="3"/>
    <x v="5"/>
    <x v="3"/>
    <n v="50814"/>
    <n v="304884"/>
  </r>
  <r>
    <x v="216"/>
    <x v="1"/>
    <x v="3"/>
    <x v="1"/>
    <x v="15"/>
    <n v="32962"/>
    <n v="626278"/>
  </r>
  <r>
    <x v="217"/>
    <x v="2"/>
    <x v="1"/>
    <x v="5"/>
    <x v="16"/>
    <n v="61184"/>
    <n v="734208"/>
  </r>
  <r>
    <x v="218"/>
    <x v="1"/>
    <x v="2"/>
    <x v="4"/>
    <x v="8"/>
    <n v="15578"/>
    <n v="171358"/>
  </r>
  <r>
    <x v="219"/>
    <x v="0"/>
    <x v="4"/>
    <x v="1"/>
    <x v="17"/>
    <n v="23624"/>
    <n v="47248"/>
  </r>
  <r>
    <x v="220"/>
    <x v="0"/>
    <x v="2"/>
    <x v="0"/>
    <x v="6"/>
    <n v="44194"/>
    <n v="662910"/>
  </r>
  <r>
    <x v="221"/>
    <x v="0"/>
    <x v="2"/>
    <x v="0"/>
    <x v="16"/>
    <n v="5389"/>
    <n v="64668"/>
  </r>
  <r>
    <x v="222"/>
    <x v="3"/>
    <x v="3"/>
    <x v="1"/>
    <x v="16"/>
    <n v="72391"/>
    <n v="868692"/>
  </r>
  <r>
    <x v="223"/>
    <x v="1"/>
    <x v="2"/>
    <x v="0"/>
    <x v="10"/>
    <n v="18794"/>
    <n v="169146"/>
  </r>
  <r>
    <x v="224"/>
    <x v="3"/>
    <x v="0"/>
    <x v="4"/>
    <x v="17"/>
    <n v="63002"/>
    <n v="126004"/>
  </r>
  <r>
    <x v="225"/>
    <x v="3"/>
    <x v="3"/>
    <x v="2"/>
    <x v="14"/>
    <n v="40531"/>
    <n v="121593"/>
  </r>
  <r>
    <x v="226"/>
    <x v="2"/>
    <x v="0"/>
    <x v="4"/>
    <x v="16"/>
    <n v="57815"/>
    <n v="693780"/>
  </r>
  <r>
    <x v="227"/>
    <x v="3"/>
    <x v="4"/>
    <x v="5"/>
    <x v="5"/>
    <n v="9986"/>
    <n v="159776"/>
  </r>
  <r>
    <x v="228"/>
    <x v="2"/>
    <x v="3"/>
    <x v="4"/>
    <x v="1"/>
    <n v="37298"/>
    <n v="37298"/>
  </r>
  <r>
    <x v="229"/>
    <x v="2"/>
    <x v="4"/>
    <x v="5"/>
    <x v="14"/>
    <n v="6481"/>
    <n v="19443"/>
  </r>
  <r>
    <x v="230"/>
    <x v="3"/>
    <x v="3"/>
    <x v="0"/>
    <x v="17"/>
    <n v="61408"/>
    <n v="122816"/>
  </r>
  <r>
    <x v="231"/>
    <x v="1"/>
    <x v="1"/>
    <x v="2"/>
    <x v="10"/>
    <n v="74267"/>
    <n v="668403"/>
  </r>
  <r>
    <x v="232"/>
    <x v="1"/>
    <x v="2"/>
    <x v="0"/>
    <x v="15"/>
    <n v="21835"/>
    <n v="414865"/>
  </r>
  <r>
    <x v="233"/>
    <x v="1"/>
    <x v="1"/>
    <x v="3"/>
    <x v="6"/>
    <n v="32798"/>
    <n v="491970"/>
  </r>
  <r>
    <x v="234"/>
    <x v="1"/>
    <x v="4"/>
    <x v="0"/>
    <x v="13"/>
    <n v="69887"/>
    <n v="1257966"/>
  </r>
  <r>
    <x v="235"/>
    <x v="1"/>
    <x v="2"/>
    <x v="5"/>
    <x v="8"/>
    <n v="24477"/>
    <n v="269247"/>
  </r>
  <r>
    <x v="236"/>
    <x v="3"/>
    <x v="3"/>
    <x v="0"/>
    <x v="5"/>
    <n v="22266"/>
    <n v="356256"/>
  </r>
  <r>
    <x v="237"/>
    <x v="3"/>
    <x v="2"/>
    <x v="0"/>
    <x v="2"/>
    <n v="48526"/>
    <n v="824942"/>
  </r>
  <r>
    <x v="238"/>
    <x v="0"/>
    <x v="0"/>
    <x v="2"/>
    <x v="11"/>
    <n v="16889"/>
    <n v="84445"/>
  </r>
  <r>
    <x v="239"/>
    <x v="1"/>
    <x v="2"/>
    <x v="0"/>
    <x v="16"/>
    <n v="29335"/>
    <n v="352020"/>
  </r>
  <r>
    <x v="240"/>
    <x v="3"/>
    <x v="0"/>
    <x v="2"/>
    <x v="8"/>
    <n v="16254"/>
    <n v="178794"/>
  </r>
  <r>
    <x v="241"/>
    <x v="0"/>
    <x v="2"/>
    <x v="1"/>
    <x v="6"/>
    <n v="16442"/>
    <n v="246630"/>
  </r>
  <r>
    <x v="242"/>
    <x v="1"/>
    <x v="0"/>
    <x v="3"/>
    <x v="14"/>
    <n v="51289"/>
    <n v="153867"/>
  </r>
  <r>
    <x v="243"/>
    <x v="2"/>
    <x v="4"/>
    <x v="2"/>
    <x v="1"/>
    <n v="58747"/>
    <n v="58747"/>
  </r>
  <r>
    <x v="244"/>
    <x v="0"/>
    <x v="1"/>
    <x v="5"/>
    <x v="5"/>
    <n v="42327"/>
    <n v="677232"/>
  </r>
  <r>
    <x v="245"/>
    <x v="3"/>
    <x v="3"/>
    <x v="1"/>
    <x v="17"/>
    <n v="21199"/>
    <n v="42398"/>
  </r>
  <r>
    <x v="246"/>
    <x v="2"/>
    <x v="2"/>
    <x v="2"/>
    <x v="17"/>
    <n v="5112"/>
    <n v="10224"/>
  </r>
  <r>
    <x v="247"/>
    <x v="2"/>
    <x v="1"/>
    <x v="2"/>
    <x v="14"/>
    <n v="24581"/>
    <n v="73743"/>
  </r>
  <r>
    <x v="248"/>
    <x v="2"/>
    <x v="3"/>
    <x v="3"/>
    <x v="18"/>
    <n v="64722"/>
    <n v="517776"/>
  </r>
  <r>
    <x v="249"/>
    <x v="0"/>
    <x v="3"/>
    <x v="5"/>
    <x v="6"/>
    <n v="21523"/>
    <n v="322845"/>
  </r>
  <r>
    <x v="250"/>
    <x v="3"/>
    <x v="0"/>
    <x v="4"/>
    <x v="9"/>
    <n v="71960"/>
    <n v="503720"/>
  </r>
  <r>
    <x v="251"/>
    <x v="2"/>
    <x v="4"/>
    <x v="4"/>
    <x v="3"/>
    <n v="24552"/>
    <n v="147312"/>
  </r>
  <r>
    <x v="252"/>
    <x v="1"/>
    <x v="4"/>
    <x v="2"/>
    <x v="10"/>
    <n v="15808"/>
    <n v="142272"/>
  </r>
  <r>
    <x v="253"/>
    <x v="2"/>
    <x v="1"/>
    <x v="0"/>
    <x v="1"/>
    <n v="28620"/>
    <n v="28620"/>
  </r>
  <r>
    <x v="254"/>
    <x v="2"/>
    <x v="4"/>
    <x v="5"/>
    <x v="18"/>
    <n v="5887"/>
    <n v="47096"/>
  </r>
  <r>
    <x v="255"/>
    <x v="0"/>
    <x v="2"/>
    <x v="1"/>
    <x v="14"/>
    <n v="36802"/>
    <n v="110406"/>
  </r>
  <r>
    <x v="256"/>
    <x v="0"/>
    <x v="4"/>
    <x v="0"/>
    <x v="4"/>
    <n v="31049"/>
    <n v="124196"/>
  </r>
  <r>
    <x v="257"/>
    <x v="3"/>
    <x v="1"/>
    <x v="0"/>
    <x v="6"/>
    <n v="12846"/>
    <n v="192690"/>
  </r>
  <r>
    <x v="258"/>
    <x v="1"/>
    <x v="4"/>
    <x v="5"/>
    <x v="3"/>
    <n v="51220"/>
    <n v="307320"/>
  </r>
  <r>
    <x v="259"/>
    <x v="0"/>
    <x v="2"/>
    <x v="2"/>
    <x v="6"/>
    <n v="51163"/>
    <n v="767445"/>
  </r>
  <r>
    <x v="260"/>
    <x v="2"/>
    <x v="0"/>
    <x v="2"/>
    <x v="14"/>
    <n v="8765"/>
    <n v="26295"/>
  </r>
  <r>
    <x v="261"/>
    <x v="3"/>
    <x v="1"/>
    <x v="2"/>
    <x v="7"/>
    <n v="50270"/>
    <n v="703780"/>
  </r>
  <r>
    <x v="262"/>
    <x v="2"/>
    <x v="0"/>
    <x v="2"/>
    <x v="7"/>
    <n v="27931"/>
    <n v="391034"/>
  </r>
  <r>
    <x v="263"/>
    <x v="2"/>
    <x v="0"/>
    <x v="4"/>
    <x v="4"/>
    <n v="60633"/>
    <n v="242532"/>
  </r>
  <r>
    <x v="264"/>
    <x v="0"/>
    <x v="0"/>
    <x v="2"/>
    <x v="16"/>
    <n v="56913"/>
    <n v="682956"/>
  </r>
  <r>
    <x v="265"/>
    <x v="3"/>
    <x v="3"/>
    <x v="4"/>
    <x v="2"/>
    <n v="30991"/>
    <n v="526847"/>
  </r>
  <r>
    <x v="266"/>
    <x v="1"/>
    <x v="3"/>
    <x v="4"/>
    <x v="9"/>
    <n v="59845"/>
    <n v="418915"/>
  </r>
  <r>
    <x v="267"/>
    <x v="1"/>
    <x v="0"/>
    <x v="2"/>
    <x v="10"/>
    <n v="60312"/>
    <n v="542808"/>
  </r>
  <r>
    <x v="268"/>
    <x v="0"/>
    <x v="1"/>
    <x v="3"/>
    <x v="14"/>
    <n v="15561"/>
    <n v="46683"/>
  </r>
  <r>
    <x v="269"/>
    <x v="0"/>
    <x v="2"/>
    <x v="1"/>
    <x v="0"/>
    <n v="21901"/>
    <n v="284713"/>
  </r>
  <r>
    <x v="270"/>
    <x v="3"/>
    <x v="2"/>
    <x v="0"/>
    <x v="6"/>
    <n v="67875"/>
    <n v="1018125"/>
  </r>
  <r>
    <x v="271"/>
    <x v="1"/>
    <x v="4"/>
    <x v="4"/>
    <x v="13"/>
    <n v="30917"/>
    <n v="556506"/>
  </r>
  <r>
    <x v="272"/>
    <x v="1"/>
    <x v="1"/>
    <x v="5"/>
    <x v="15"/>
    <n v="67120"/>
    <n v="1275280"/>
  </r>
  <r>
    <x v="273"/>
    <x v="1"/>
    <x v="3"/>
    <x v="5"/>
    <x v="1"/>
    <n v="6988"/>
    <n v="6988"/>
  </r>
  <r>
    <x v="274"/>
    <x v="2"/>
    <x v="0"/>
    <x v="1"/>
    <x v="3"/>
    <n v="19256"/>
    <n v="115536"/>
  </r>
  <r>
    <x v="275"/>
    <x v="1"/>
    <x v="4"/>
    <x v="5"/>
    <x v="17"/>
    <n v="33230"/>
    <n v="66460"/>
  </r>
  <r>
    <x v="276"/>
    <x v="2"/>
    <x v="2"/>
    <x v="3"/>
    <x v="7"/>
    <n v="64778"/>
    <n v="906892"/>
  </r>
  <r>
    <x v="277"/>
    <x v="3"/>
    <x v="3"/>
    <x v="5"/>
    <x v="3"/>
    <n v="50833"/>
    <n v="304998"/>
  </r>
  <r>
    <x v="278"/>
    <x v="2"/>
    <x v="3"/>
    <x v="0"/>
    <x v="7"/>
    <n v="27625"/>
    <n v="386750"/>
  </r>
  <r>
    <x v="279"/>
    <x v="3"/>
    <x v="0"/>
    <x v="0"/>
    <x v="4"/>
    <n v="37088"/>
    <n v="148352"/>
  </r>
  <r>
    <x v="280"/>
    <x v="1"/>
    <x v="2"/>
    <x v="4"/>
    <x v="18"/>
    <n v="46167"/>
    <n v="369336"/>
  </r>
  <r>
    <x v="281"/>
    <x v="1"/>
    <x v="1"/>
    <x v="2"/>
    <x v="14"/>
    <n v="70303"/>
    <n v="210909"/>
  </r>
  <r>
    <x v="282"/>
    <x v="3"/>
    <x v="3"/>
    <x v="3"/>
    <x v="15"/>
    <n v="9117"/>
    <n v="173223"/>
  </r>
  <r>
    <x v="283"/>
    <x v="0"/>
    <x v="0"/>
    <x v="4"/>
    <x v="7"/>
    <n v="65710"/>
    <n v="919940"/>
  </r>
  <r>
    <x v="284"/>
    <x v="3"/>
    <x v="1"/>
    <x v="3"/>
    <x v="2"/>
    <n v="72054"/>
    <n v="1224918"/>
  </r>
  <r>
    <x v="285"/>
    <x v="0"/>
    <x v="2"/>
    <x v="2"/>
    <x v="18"/>
    <n v="35949"/>
    <n v="287592"/>
  </r>
  <r>
    <x v="286"/>
    <x v="2"/>
    <x v="3"/>
    <x v="5"/>
    <x v="7"/>
    <n v="27547"/>
    <n v="385658"/>
  </r>
  <r>
    <x v="287"/>
    <x v="2"/>
    <x v="1"/>
    <x v="5"/>
    <x v="3"/>
    <n v="73136"/>
    <n v="438816"/>
  </r>
  <r>
    <x v="288"/>
    <x v="2"/>
    <x v="1"/>
    <x v="2"/>
    <x v="5"/>
    <n v="69619"/>
    <n v="1113904"/>
  </r>
  <r>
    <x v="289"/>
    <x v="1"/>
    <x v="1"/>
    <x v="4"/>
    <x v="15"/>
    <n v="66842"/>
    <n v="1269998"/>
  </r>
  <r>
    <x v="290"/>
    <x v="2"/>
    <x v="3"/>
    <x v="2"/>
    <x v="7"/>
    <n v="31990"/>
    <n v="447860"/>
  </r>
  <r>
    <x v="291"/>
    <x v="0"/>
    <x v="3"/>
    <x v="1"/>
    <x v="15"/>
    <n v="21193"/>
    <n v="402667"/>
  </r>
  <r>
    <x v="292"/>
    <x v="2"/>
    <x v="4"/>
    <x v="0"/>
    <x v="14"/>
    <n v="35109"/>
    <n v="105327"/>
  </r>
  <r>
    <x v="293"/>
    <x v="3"/>
    <x v="2"/>
    <x v="4"/>
    <x v="12"/>
    <n v="24233"/>
    <n v="242330"/>
  </r>
  <r>
    <x v="294"/>
    <x v="3"/>
    <x v="0"/>
    <x v="3"/>
    <x v="15"/>
    <n v="39510"/>
    <n v="750690"/>
  </r>
  <r>
    <x v="295"/>
    <x v="1"/>
    <x v="1"/>
    <x v="1"/>
    <x v="10"/>
    <n v="6306"/>
    <n v="56754"/>
  </r>
  <r>
    <x v="296"/>
    <x v="3"/>
    <x v="4"/>
    <x v="4"/>
    <x v="0"/>
    <n v="8849"/>
    <n v="115037"/>
  </r>
  <r>
    <x v="297"/>
    <x v="0"/>
    <x v="0"/>
    <x v="2"/>
    <x v="9"/>
    <n v="17360"/>
    <n v="121520"/>
  </r>
  <r>
    <x v="298"/>
    <x v="2"/>
    <x v="4"/>
    <x v="2"/>
    <x v="7"/>
    <n v="50800"/>
    <n v="711200"/>
  </r>
  <r>
    <x v="299"/>
    <x v="1"/>
    <x v="3"/>
    <x v="2"/>
    <x v="10"/>
    <n v="41963"/>
    <n v="377667"/>
  </r>
  <r>
    <x v="300"/>
    <x v="2"/>
    <x v="1"/>
    <x v="2"/>
    <x v="15"/>
    <n v="59330"/>
    <n v="1127270"/>
  </r>
  <r>
    <x v="301"/>
    <x v="2"/>
    <x v="0"/>
    <x v="3"/>
    <x v="6"/>
    <n v="56707"/>
    <n v="850605"/>
  </r>
  <r>
    <x v="302"/>
    <x v="0"/>
    <x v="0"/>
    <x v="1"/>
    <x v="7"/>
    <n v="23689"/>
    <n v="331646"/>
  </r>
  <r>
    <x v="303"/>
    <x v="3"/>
    <x v="0"/>
    <x v="5"/>
    <x v="3"/>
    <n v="34084"/>
    <n v="204504"/>
  </r>
  <r>
    <x v="304"/>
    <x v="3"/>
    <x v="0"/>
    <x v="0"/>
    <x v="4"/>
    <n v="45387"/>
    <n v="181548"/>
  </r>
  <r>
    <x v="305"/>
    <x v="2"/>
    <x v="0"/>
    <x v="3"/>
    <x v="18"/>
    <n v="7642"/>
    <n v="61136"/>
  </r>
  <r>
    <x v="306"/>
    <x v="1"/>
    <x v="4"/>
    <x v="3"/>
    <x v="2"/>
    <n v="47137"/>
    <n v="801329"/>
  </r>
  <r>
    <x v="307"/>
    <x v="3"/>
    <x v="1"/>
    <x v="5"/>
    <x v="10"/>
    <n v="60561"/>
    <n v="545049"/>
  </r>
  <r>
    <x v="308"/>
    <x v="1"/>
    <x v="3"/>
    <x v="5"/>
    <x v="1"/>
    <n v="67260"/>
    <n v="67260"/>
  </r>
  <r>
    <x v="309"/>
    <x v="3"/>
    <x v="3"/>
    <x v="0"/>
    <x v="7"/>
    <n v="20438"/>
    <n v="286132"/>
  </r>
  <r>
    <x v="310"/>
    <x v="1"/>
    <x v="3"/>
    <x v="0"/>
    <x v="8"/>
    <n v="53442"/>
    <n v="587862"/>
  </r>
  <r>
    <x v="311"/>
    <x v="0"/>
    <x v="3"/>
    <x v="5"/>
    <x v="14"/>
    <n v="7994"/>
    <n v="23982"/>
  </r>
  <r>
    <x v="312"/>
    <x v="1"/>
    <x v="4"/>
    <x v="2"/>
    <x v="10"/>
    <n v="6813"/>
    <n v="61317"/>
  </r>
  <r>
    <x v="313"/>
    <x v="0"/>
    <x v="2"/>
    <x v="3"/>
    <x v="7"/>
    <n v="60276"/>
    <n v="843864"/>
  </r>
  <r>
    <x v="314"/>
    <x v="0"/>
    <x v="1"/>
    <x v="4"/>
    <x v="10"/>
    <n v="46243"/>
    <n v="416187"/>
  </r>
  <r>
    <x v="315"/>
    <x v="1"/>
    <x v="0"/>
    <x v="0"/>
    <x v="4"/>
    <n v="67912"/>
    <n v="271648"/>
  </r>
  <r>
    <x v="316"/>
    <x v="0"/>
    <x v="2"/>
    <x v="0"/>
    <x v="4"/>
    <n v="65272"/>
    <n v="261088"/>
  </r>
  <r>
    <x v="317"/>
    <x v="2"/>
    <x v="3"/>
    <x v="5"/>
    <x v="18"/>
    <n v="47051"/>
    <n v="376408"/>
  </r>
  <r>
    <x v="318"/>
    <x v="0"/>
    <x v="2"/>
    <x v="1"/>
    <x v="17"/>
    <n v="70618"/>
    <n v="141236"/>
  </r>
  <r>
    <x v="319"/>
    <x v="3"/>
    <x v="1"/>
    <x v="4"/>
    <x v="10"/>
    <n v="6920"/>
    <n v="62280"/>
  </r>
  <r>
    <x v="320"/>
    <x v="1"/>
    <x v="0"/>
    <x v="4"/>
    <x v="7"/>
    <n v="7093"/>
    <n v="99302"/>
  </r>
  <r>
    <x v="321"/>
    <x v="2"/>
    <x v="0"/>
    <x v="0"/>
    <x v="10"/>
    <n v="17905"/>
    <n v="161145"/>
  </r>
  <r>
    <x v="322"/>
    <x v="1"/>
    <x v="1"/>
    <x v="2"/>
    <x v="5"/>
    <n v="29351"/>
    <n v="469616"/>
  </r>
  <r>
    <x v="323"/>
    <x v="3"/>
    <x v="1"/>
    <x v="1"/>
    <x v="2"/>
    <n v="35981"/>
    <n v="611677"/>
  </r>
  <r>
    <x v="324"/>
    <x v="3"/>
    <x v="3"/>
    <x v="4"/>
    <x v="5"/>
    <n v="24874"/>
    <n v="397984"/>
  </r>
  <r>
    <x v="325"/>
    <x v="3"/>
    <x v="0"/>
    <x v="0"/>
    <x v="16"/>
    <n v="55931"/>
    <n v="671172"/>
  </r>
  <r>
    <x v="326"/>
    <x v="0"/>
    <x v="2"/>
    <x v="4"/>
    <x v="14"/>
    <n v="12674"/>
    <n v="38022"/>
  </r>
  <r>
    <x v="327"/>
    <x v="0"/>
    <x v="4"/>
    <x v="1"/>
    <x v="8"/>
    <n v="55516"/>
    <n v="610676"/>
  </r>
  <r>
    <x v="328"/>
    <x v="1"/>
    <x v="4"/>
    <x v="1"/>
    <x v="7"/>
    <n v="65686"/>
    <n v="919604"/>
  </r>
  <r>
    <x v="329"/>
    <x v="1"/>
    <x v="1"/>
    <x v="3"/>
    <x v="13"/>
    <n v="74212"/>
    <n v="1335816"/>
  </r>
  <r>
    <x v="330"/>
    <x v="2"/>
    <x v="3"/>
    <x v="5"/>
    <x v="11"/>
    <n v="7426"/>
    <n v="37130"/>
  </r>
  <r>
    <x v="331"/>
    <x v="2"/>
    <x v="4"/>
    <x v="5"/>
    <x v="5"/>
    <n v="73498"/>
    <n v="1175968"/>
  </r>
  <r>
    <x v="332"/>
    <x v="1"/>
    <x v="0"/>
    <x v="0"/>
    <x v="11"/>
    <n v="34943"/>
    <n v="174715"/>
  </r>
  <r>
    <x v="333"/>
    <x v="0"/>
    <x v="1"/>
    <x v="1"/>
    <x v="14"/>
    <n v="71395"/>
    <n v="214185"/>
  </r>
  <r>
    <x v="334"/>
    <x v="3"/>
    <x v="2"/>
    <x v="3"/>
    <x v="16"/>
    <n v="49816"/>
    <n v="597792"/>
  </r>
  <r>
    <x v="335"/>
    <x v="1"/>
    <x v="1"/>
    <x v="3"/>
    <x v="1"/>
    <n v="9138"/>
    <n v="9138"/>
  </r>
  <r>
    <x v="336"/>
    <x v="2"/>
    <x v="2"/>
    <x v="4"/>
    <x v="10"/>
    <n v="9017"/>
    <n v="81153"/>
  </r>
  <r>
    <x v="337"/>
    <x v="0"/>
    <x v="1"/>
    <x v="4"/>
    <x v="10"/>
    <n v="15451"/>
    <n v="139059"/>
  </r>
  <r>
    <x v="338"/>
    <x v="1"/>
    <x v="1"/>
    <x v="3"/>
    <x v="4"/>
    <n v="67956"/>
    <n v="271824"/>
  </r>
  <r>
    <x v="339"/>
    <x v="1"/>
    <x v="1"/>
    <x v="4"/>
    <x v="14"/>
    <n v="15278"/>
    <n v="45834"/>
  </r>
  <r>
    <x v="340"/>
    <x v="0"/>
    <x v="2"/>
    <x v="1"/>
    <x v="2"/>
    <n v="48764"/>
    <n v="828988"/>
  </r>
  <r>
    <x v="341"/>
    <x v="1"/>
    <x v="2"/>
    <x v="2"/>
    <x v="17"/>
    <n v="6134"/>
    <n v="12268"/>
  </r>
  <r>
    <x v="342"/>
    <x v="0"/>
    <x v="1"/>
    <x v="1"/>
    <x v="1"/>
    <n v="67943"/>
    <n v="67943"/>
  </r>
  <r>
    <x v="343"/>
    <x v="3"/>
    <x v="4"/>
    <x v="3"/>
    <x v="18"/>
    <n v="59318"/>
    <n v="474544"/>
  </r>
  <r>
    <x v="344"/>
    <x v="0"/>
    <x v="3"/>
    <x v="3"/>
    <x v="0"/>
    <n v="65128"/>
    <n v="846664"/>
  </r>
  <r>
    <x v="345"/>
    <x v="0"/>
    <x v="3"/>
    <x v="1"/>
    <x v="6"/>
    <n v="26869"/>
    <n v="403035"/>
  </r>
  <r>
    <x v="346"/>
    <x v="0"/>
    <x v="3"/>
    <x v="4"/>
    <x v="18"/>
    <n v="10039"/>
    <n v="80312"/>
  </r>
  <r>
    <x v="347"/>
    <x v="1"/>
    <x v="2"/>
    <x v="4"/>
    <x v="16"/>
    <n v="26281"/>
    <n v="315372"/>
  </r>
  <r>
    <x v="348"/>
    <x v="1"/>
    <x v="2"/>
    <x v="5"/>
    <x v="16"/>
    <n v="15442"/>
    <n v="185304"/>
  </r>
  <r>
    <x v="349"/>
    <x v="0"/>
    <x v="4"/>
    <x v="3"/>
    <x v="7"/>
    <n v="32586"/>
    <n v="456204"/>
  </r>
  <r>
    <x v="350"/>
    <x v="1"/>
    <x v="3"/>
    <x v="0"/>
    <x v="6"/>
    <n v="58053"/>
    <n v="870795"/>
  </r>
  <r>
    <x v="351"/>
    <x v="2"/>
    <x v="3"/>
    <x v="5"/>
    <x v="6"/>
    <n v="55489"/>
    <n v="832335"/>
  </r>
  <r>
    <x v="352"/>
    <x v="2"/>
    <x v="1"/>
    <x v="4"/>
    <x v="10"/>
    <n v="72087"/>
    <n v="648783"/>
  </r>
  <r>
    <x v="353"/>
    <x v="1"/>
    <x v="2"/>
    <x v="1"/>
    <x v="15"/>
    <n v="17625"/>
    <n v="334875"/>
  </r>
  <r>
    <x v="354"/>
    <x v="1"/>
    <x v="3"/>
    <x v="4"/>
    <x v="18"/>
    <n v="39397"/>
    <n v="315176"/>
  </r>
  <r>
    <x v="355"/>
    <x v="0"/>
    <x v="4"/>
    <x v="1"/>
    <x v="15"/>
    <n v="63671"/>
    <n v="1209749"/>
  </r>
  <r>
    <x v="356"/>
    <x v="3"/>
    <x v="4"/>
    <x v="5"/>
    <x v="3"/>
    <n v="71897"/>
    <n v="431382"/>
  </r>
  <r>
    <x v="357"/>
    <x v="1"/>
    <x v="3"/>
    <x v="3"/>
    <x v="15"/>
    <n v="31149"/>
    <n v="591831"/>
  </r>
  <r>
    <x v="358"/>
    <x v="2"/>
    <x v="2"/>
    <x v="4"/>
    <x v="4"/>
    <n v="65030"/>
    <n v="260120"/>
  </r>
  <r>
    <x v="359"/>
    <x v="0"/>
    <x v="4"/>
    <x v="1"/>
    <x v="9"/>
    <n v="74906"/>
    <n v="524342"/>
  </r>
  <r>
    <x v="360"/>
    <x v="1"/>
    <x v="1"/>
    <x v="3"/>
    <x v="4"/>
    <n v="10283"/>
    <n v="41132"/>
  </r>
  <r>
    <x v="361"/>
    <x v="2"/>
    <x v="4"/>
    <x v="0"/>
    <x v="16"/>
    <n v="12610"/>
    <n v="151320"/>
  </r>
  <r>
    <x v="362"/>
    <x v="2"/>
    <x v="0"/>
    <x v="1"/>
    <x v="0"/>
    <n v="48326"/>
    <n v="628238"/>
  </r>
  <r>
    <x v="363"/>
    <x v="3"/>
    <x v="0"/>
    <x v="5"/>
    <x v="14"/>
    <n v="19924"/>
    <n v="59772"/>
  </r>
  <r>
    <x v="364"/>
    <x v="0"/>
    <x v="2"/>
    <x v="0"/>
    <x v="16"/>
    <n v="5869"/>
    <n v="70428"/>
  </r>
  <r>
    <x v="365"/>
    <x v="0"/>
    <x v="3"/>
    <x v="0"/>
    <x v="17"/>
    <n v="6014"/>
    <n v="12028"/>
  </r>
  <r>
    <x v="366"/>
    <x v="3"/>
    <x v="2"/>
    <x v="2"/>
    <x v="17"/>
    <n v="15103"/>
    <n v="30206"/>
  </r>
  <r>
    <x v="367"/>
    <x v="3"/>
    <x v="2"/>
    <x v="4"/>
    <x v="10"/>
    <n v="38458"/>
    <n v="346122"/>
  </r>
  <r>
    <x v="368"/>
    <x v="0"/>
    <x v="2"/>
    <x v="1"/>
    <x v="1"/>
    <n v="28248"/>
    <n v="28248"/>
  </r>
  <r>
    <x v="369"/>
    <x v="0"/>
    <x v="2"/>
    <x v="0"/>
    <x v="18"/>
    <n v="48516"/>
    <n v="388128"/>
  </r>
  <r>
    <x v="370"/>
    <x v="1"/>
    <x v="1"/>
    <x v="2"/>
    <x v="3"/>
    <n v="34061"/>
    <n v="204366"/>
  </r>
  <r>
    <x v="371"/>
    <x v="1"/>
    <x v="1"/>
    <x v="5"/>
    <x v="3"/>
    <n v="29170"/>
    <n v="175020"/>
  </r>
  <r>
    <x v="372"/>
    <x v="3"/>
    <x v="4"/>
    <x v="3"/>
    <x v="13"/>
    <n v="13024"/>
    <n v="234432"/>
  </r>
  <r>
    <x v="373"/>
    <x v="1"/>
    <x v="0"/>
    <x v="1"/>
    <x v="2"/>
    <n v="48803"/>
    <n v="829651"/>
  </r>
  <r>
    <x v="374"/>
    <x v="2"/>
    <x v="2"/>
    <x v="0"/>
    <x v="16"/>
    <n v="24296"/>
    <n v="291552"/>
  </r>
  <r>
    <x v="375"/>
    <x v="1"/>
    <x v="4"/>
    <x v="4"/>
    <x v="3"/>
    <n v="23257"/>
    <n v="139542"/>
  </r>
  <r>
    <x v="376"/>
    <x v="1"/>
    <x v="0"/>
    <x v="2"/>
    <x v="18"/>
    <n v="17855"/>
    <n v="142840"/>
  </r>
  <r>
    <x v="377"/>
    <x v="2"/>
    <x v="3"/>
    <x v="0"/>
    <x v="15"/>
    <n v="25025"/>
    <n v="475475"/>
  </r>
  <r>
    <x v="378"/>
    <x v="3"/>
    <x v="1"/>
    <x v="4"/>
    <x v="12"/>
    <n v="9458"/>
    <n v="94580"/>
  </r>
  <r>
    <x v="379"/>
    <x v="2"/>
    <x v="0"/>
    <x v="0"/>
    <x v="1"/>
    <n v="68610"/>
    <n v="68610"/>
  </r>
  <r>
    <x v="380"/>
    <x v="1"/>
    <x v="3"/>
    <x v="1"/>
    <x v="0"/>
    <n v="54831"/>
    <n v="712803"/>
  </r>
  <r>
    <x v="381"/>
    <x v="3"/>
    <x v="0"/>
    <x v="1"/>
    <x v="2"/>
    <n v="48427"/>
    <n v="823259"/>
  </r>
  <r>
    <x v="382"/>
    <x v="1"/>
    <x v="1"/>
    <x v="1"/>
    <x v="14"/>
    <n v="43506"/>
    <n v="130518"/>
  </r>
  <r>
    <x v="383"/>
    <x v="2"/>
    <x v="1"/>
    <x v="5"/>
    <x v="18"/>
    <n v="10668"/>
    <n v="85344"/>
  </r>
  <r>
    <x v="384"/>
    <x v="2"/>
    <x v="4"/>
    <x v="5"/>
    <x v="7"/>
    <n v="52195"/>
    <n v="730730"/>
  </r>
  <r>
    <x v="385"/>
    <x v="1"/>
    <x v="2"/>
    <x v="2"/>
    <x v="14"/>
    <n v="29417"/>
    <n v="88251"/>
  </r>
  <r>
    <x v="386"/>
    <x v="0"/>
    <x v="0"/>
    <x v="1"/>
    <x v="5"/>
    <n v="15751"/>
    <n v="252016"/>
  </r>
  <r>
    <x v="387"/>
    <x v="0"/>
    <x v="0"/>
    <x v="4"/>
    <x v="0"/>
    <n v="51218"/>
    <n v="665834"/>
  </r>
  <r>
    <x v="388"/>
    <x v="2"/>
    <x v="3"/>
    <x v="0"/>
    <x v="2"/>
    <n v="12352"/>
    <n v="209984"/>
  </r>
  <r>
    <x v="389"/>
    <x v="2"/>
    <x v="1"/>
    <x v="3"/>
    <x v="0"/>
    <n v="33927"/>
    <n v="441051"/>
  </r>
  <r>
    <x v="390"/>
    <x v="0"/>
    <x v="0"/>
    <x v="4"/>
    <x v="3"/>
    <n v="46094"/>
    <n v="276564"/>
  </r>
  <r>
    <x v="391"/>
    <x v="0"/>
    <x v="1"/>
    <x v="5"/>
    <x v="2"/>
    <n v="59122"/>
    <n v="1005074"/>
  </r>
  <r>
    <x v="392"/>
    <x v="1"/>
    <x v="0"/>
    <x v="5"/>
    <x v="7"/>
    <n v="34493"/>
    <n v="482902"/>
  </r>
  <r>
    <x v="393"/>
    <x v="1"/>
    <x v="4"/>
    <x v="4"/>
    <x v="2"/>
    <n v="36707"/>
    <n v="624019"/>
  </r>
  <r>
    <x v="394"/>
    <x v="0"/>
    <x v="2"/>
    <x v="5"/>
    <x v="18"/>
    <n v="73814"/>
    <n v="590512"/>
  </r>
  <r>
    <x v="395"/>
    <x v="1"/>
    <x v="0"/>
    <x v="1"/>
    <x v="8"/>
    <n v="12296"/>
    <n v="135256"/>
  </r>
  <r>
    <x v="396"/>
    <x v="1"/>
    <x v="1"/>
    <x v="2"/>
    <x v="1"/>
    <n v="30398"/>
    <n v="30398"/>
  </r>
  <r>
    <x v="397"/>
    <x v="3"/>
    <x v="4"/>
    <x v="0"/>
    <x v="9"/>
    <n v="40842"/>
    <n v="285894"/>
  </r>
  <r>
    <x v="398"/>
    <x v="1"/>
    <x v="0"/>
    <x v="2"/>
    <x v="2"/>
    <n v="18261"/>
    <n v="310437"/>
  </r>
  <r>
    <x v="399"/>
    <x v="2"/>
    <x v="3"/>
    <x v="0"/>
    <x v="12"/>
    <n v="61704"/>
    <n v="617040"/>
  </r>
  <r>
    <x v="400"/>
    <x v="1"/>
    <x v="2"/>
    <x v="0"/>
    <x v="8"/>
    <n v="72173"/>
    <n v="793903"/>
  </r>
  <r>
    <x v="401"/>
    <x v="1"/>
    <x v="0"/>
    <x v="2"/>
    <x v="10"/>
    <n v="36781"/>
    <n v="331029"/>
  </r>
  <r>
    <x v="402"/>
    <x v="0"/>
    <x v="4"/>
    <x v="4"/>
    <x v="10"/>
    <n v="18652"/>
    <n v="167868"/>
  </r>
  <r>
    <x v="403"/>
    <x v="2"/>
    <x v="3"/>
    <x v="0"/>
    <x v="11"/>
    <n v="10103"/>
    <n v="50515"/>
  </r>
  <r>
    <x v="404"/>
    <x v="1"/>
    <x v="4"/>
    <x v="2"/>
    <x v="2"/>
    <n v="30500"/>
    <n v="518500"/>
  </r>
  <r>
    <x v="405"/>
    <x v="1"/>
    <x v="4"/>
    <x v="0"/>
    <x v="10"/>
    <n v="40529"/>
    <n v="364761"/>
  </r>
  <r>
    <x v="406"/>
    <x v="3"/>
    <x v="3"/>
    <x v="3"/>
    <x v="2"/>
    <n v="23452"/>
    <n v="398684"/>
  </r>
  <r>
    <x v="407"/>
    <x v="1"/>
    <x v="4"/>
    <x v="4"/>
    <x v="15"/>
    <n v="54393"/>
    <n v="1033467"/>
  </r>
  <r>
    <x v="408"/>
    <x v="1"/>
    <x v="3"/>
    <x v="1"/>
    <x v="9"/>
    <n v="36174"/>
    <n v="253218"/>
  </r>
  <r>
    <x v="409"/>
    <x v="3"/>
    <x v="0"/>
    <x v="0"/>
    <x v="10"/>
    <n v="69450"/>
    <n v="625050"/>
  </r>
  <r>
    <x v="410"/>
    <x v="0"/>
    <x v="3"/>
    <x v="3"/>
    <x v="9"/>
    <n v="40436"/>
    <n v="283052"/>
  </r>
  <r>
    <x v="411"/>
    <x v="1"/>
    <x v="3"/>
    <x v="1"/>
    <x v="0"/>
    <n v="52406"/>
    <n v="681278"/>
  </r>
  <r>
    <x v="412"/>
    <x v="3"/>
    <x v="2"/>
    <x v="1"/>
    <x v="8"/>
    <n v="68059"/>
    <n v="748649"/>
  </r>
  <r>
    <x v="413"/>
    <x v="2"/>
    <x v="3"/>
    <x v="0"/>
    <x v="7"/>
    <n v="20954"/>
    <n v="293356"/>
  </r>
  <r>
    <x v="414"/>
    <x v="0"/>
    <x v="3"/>
    <x v="2"/>
    <x v="15"/>
    <n v="17356"/>
    <n v="329764"/>
  </r>
  <r>
    <x v="415"/>
    <x v="2"/>
    <x v="0"/>
    <x v="0"/>
    <x v="8"/>
    <n v="7187"/>
    <n v="79057"/>
  </r>
  <r>
    <x v="416"/>
    <x v="2"/>
    <x v="2"/>
    <x v="3"/>
    <x v="0"/>
    <n v="40098"/>
    <n v="521274"/>
  </r>
  <r>
    <x v="417"/>
    <x v="3"/>
    <x v="1"/>
    <x v="1"/>
    <x v="7"/>
    <n v="26225"/>
    <n v="367150"/>
  </r>
  <r>
    <x v="418"/>
    <x v="1"/>
    <x v="0"/>
    <x v="0"/>
    <x v="0"/>
    <n v="8606"/>
    <n v="111878"/>
  </r>
  <r>
    <x v="419"/>
    <x v="3"/>
    <x v="0"/>
    <x v="2"/>
    <x v="1"/>
    <n v="62620"/>
    <n v="62620"/>
  </r>
  <r>
    <x v="420"/>
    <x v="3"/>
    <x v="1"/>
    <x v="0"/>
    <x v="18"/>
    <n v="37828"/>
    <n v="302624"/>
  </r>
  <r>
    <x v="421"/>
    <x v="3"/>
    <x v="3"/>
    <x v="4"/>
    <x v="16"/>
    <n v="31489"/>
    <n v="377868"/>
  </r>
  <r>
    <x v="422"/>
    <x v="3"/>
    <x v="4"/>
    <x v="2"/>
    <x v="15"/>
    <n v="19387"/>
    <n v="368353"/>
  </r>
  <r>
    <x v="423"/>
    <x v="0"/>
    <x v="2"/>
    <x v="3"/>
    <x v="16"/>
    <n v="74463"/>
    <n v="893556"/>
  </r>
  <r>
    <x v="424"/>
    <x v="1"/>
    <x v="4"/>
    <x v="1"/>
    <x v="18"/>
    <n v="7591"/>
    <n v="60728"/>
  </r>
  <r>
    <x v="425"/>
    <x v="2"/>
    <x v="1"/>
    <x v="0"/>
    <x v="18"/>
    <n v="53516"/>
    <n v="428128"/>
  </r>
  <r>
    <x v="426"/>
    <x v="2"/>
    <x v="0"/>
    <x v="2"/>
    <x v="0"/>
    <n v="67061"/>
    <n v="871793"/>
  </r>
  <r>
    <x v="427"/>
    <x v="1"/>
    <x v="0"/>
    <x v="4"/>
    <x v="16"/>
    <n v="71736"/>
    <n v="860832"/>
  </r>
  <r>
    <x v="428"/>
    <x v="2"/>
    <x v="2"/>
    <x v="2"/>
    <x v="5"/>
    <n v="66753"/>
    <n v="1068048"/>
  </r>
  <r>
    <x v="429"/>
    <x v="1"/>
    <x v="0"/>
    <x v="5"/>
    <x v="1"/>
    <n v="16087"/>
    <n v="16087"/>
  </r>
  <r>
    <x v="430"/>
    <x v="2"/>
    <x v="0"/>
    <x v="4"/>
    <x v="0"/>
    <n v="35816"/>
    <n v="465608"/>
  </r>
  <r>
    <x v="431"/>
    <x v="3"/>
    <x v="2"/>
    <x v="3"/>
    <x v="9"/>
    <n v="28408"/>
    <n v="198856"/>
  </r>
  <r>
    <x v="432"/>
    <x v="2"/>
    <x v="2"/>
    <x v="1"/>
    <x v="11"/>
    <n v="5136"/>
    <n v="25680"/>
  </r>
  <r>
    <x v="433"/>
    <x v="1"/>
    <x v="1"/>
    <x v="3"/>
    <x v="18"/>
    <n v="22413"/>
    <n v="179304"/>
  </r>
  <r>
    <x v="434"/>
    <x v="1"/>
    <x v="0"/>
    <x v="0"/>
    <x v="7"/>
    <n v="64500"/>
    <n v="903000"/>
  </r>
  <r>
    <x v="435"/>
    <x v="1"/>
    <x v="0"/>
    <x v="2"/>
    <x v="0"/>
    <n v="61358"/>
    <n v="797654"/>
  </r>
  <r>
    <x v="436"/>
    <x v="1"/>
    <x v="1"/>
    <x v="5"/>
    <x v="6"/>
    <n v="71197"/>
    <n v="1067955"/>
  </r>
  <r>
    <x v="437"/>
    <x v="1"/>
    <x v="3"/>
    <x v="4"/>
    <x v="2"/>
    <n v="37854"/>
    <n v="643518"/>
  </r>
  <r>
    <x v="438"/>
    <x v="0"/>
    <x v="3"/>
    <x v="4"/>
    <x v="6"/>
    <n v="21322"/>
    <n v="319830"/>
  </r>
  <r>
    <x v="439"/>
    <x v="0"/>
    <x v="3"/>
    <x v="2"/>
    <x v="13"/>
    <n v="11968"/>
    <n v="215424"/>
  </r>
  <r>
    <x v="440"/>
    <x v="2"/>
    <x v="1"/>
    <x v="5"/>
    <x v="13"/>
    <n v="32518"/>
    <n v="585324"/>
  </r>
  <r>
    <x v="441"/>
    <x v="1"/>
    <x v="0"/>
    <x v="2"/>
    <x v="17"/>
    <n v="56925"/>
    <n v="113850"/>
  </r>
  <r>
    <x v="442"/>
    <x v="2"/>
    <x v="1"/>
    <x v="0"/>
    <x v="4"/>
    <n v="64848"/>
    <n v="259392"/>
  </r>
  <r>
    <x v="443"/>
    <x v="1"/>
    <x v="1"/>
    <x v="3"/>
    <x v="1"/>
    <n v="6700"/>
    <n v="6700"/>
  </r>
  <r>
    <x v="444"/>
    <x v="1"/>
    <x v="3"/>
    <x v="4"/>
    <x v="4"/>
    <n v="28199"/>
    <n v="112796"/>
  </r>
  <r>
    <x v="445"/>
    <x v="0"/>
    <x v="4"/>
    <x v="0"/>
    <x v="13"/>
    <n v="49589"/>
    <n v="892602"/>
  </r>
  <r>
    <x v="446"/>
    <x v="0"/>
    <x v="0"/>
    <x v="3"/>
    <x v="11"/>
    <n v="37115"/>
    <n v="185575"/>
  </r>
  <r>
    <x v="447"/>
    <x v="3"/>
    <x v="3"/>
    <x v="0"/>
    <x v="15"/>
    <n v="66934"/>
    <n v="1271746"/>
  </r>
  <r>
    <x v="448"/>
    <x v="0"/>
    <x v="4"/>
    <x v="5"/>
    <x v="6"/>
    <n v="59316"/>
    <n v="889740"/>
  </r>
  <r>
    <x v="449"/>
    <x v="3"/>
    <x v="4"/>
    <x v="4"/>
    <x v="18"/>
    <n v="10520"/>
    <n v="84160"/>
  </r>
  <r>
    <x v="450"/>
    <x v="3"/>
    <x v="2"/>
    <x v="2"/>
    <x v="2"/>
    <n v="41455"/>
    <n v="704735"/>
  </r>
  <r>
    <x v="451"/>
    <x v="3"/>
    <x v="0"/>
    <x v="2"/>
    <x v="1"/>
    <n v="46605"/>
    <n v="46605"/>
  </r>
  <r>
    <x v="452"/>
    <x v="3"/>
    <x v="4"/>
    <x v="3"/>
    <x v="16"/>
    <n v="19955"/>
    <n v="239460"/>
  </r>
  <r>
    <x v="453"/>
    <x v="3"/>
    <x v="3"/>
    <x v="1"/>
    <x v="15"/>
    <n v="49049"/>
    <n v="931931"/>
  </r>
  <r>
    <x v="454"/>
    <x v="2"/>
    <x v="2"/>
    <x v="5"/>
    <x v="6"/>
    <n v="18917"/>
    <n v="283755"/>
  </r>
  <r>
    <x v="455"/>
    <x v="0"/>
    <x v="0"/>
    <x v="3"/>
    <x v="10"/>
    <n v="69925"/>
    <n v="629325"/>
  </r>
  <r>
    <x v="456"/>
    <x v="3"/>
    <x v="1"/>
    <x v="1"/>
    <x v="9"/>
    <n v="35954"/>
    <n v="251678"/>
  </r>
  <r>
    <x v="457"/>
    <x v="1"/>
    <x v="3"/>
    <x v="0"/>
    <x v="17"/>
    <n v="46458"/>
    <n v="92916"/>
  </r>
  <r>
    <x v="458"/>
    <x v="0"/>
    <x v="4"/>
    <x v="5"/>
    <x v="10"/>
    <n v="26113"/>
    <n v="235017"/>
  </r>
  <r>
    <x v="459"/>
    <x v="0"/>
    <x v="4"/>
    <x v="0"/>
    <x v="12"/>
    <n v="48939"/>
    <n v="489390"/>
  </r>
  <r>
    <x v="460"/>
    <x v="3"/>
    <x v="3"/>
    <x v="4"/>
    <x v="17"/>
    <n v="34345"/>
    <n v="68690"/>
  </r>
  <r>
    <x v="461"/>
    <x v="2"/>
    <x v="4"/>
    <x v="5"/>
    <x v="15"/>
    <n v="51313"/>
    <n v="974947"/>
  </r>
  <r>
    <x v="462"/>
    <x v="3"/>
    <x v="2"/>
    <x v="1"/>
    <x v="8"/>
    <n v="74166"/>
    <n v="815826"/>
  </r>
  <r>
    <x v="463"/>
    <x v="2"/>
    <x v="0"/>
    <x v="4"/>
    <x v="0"/>
    <n v="52861"/>
    <n v="687193"/>
  </r>
  <r>
    <x v="464"/>
    <x v="1"/>
    <x v="2"/>
    <x v="2"/>
    <x v="12"/>
    <n v="54298"/>
    <n v="542980"/>
  </r>
  <r>
    <x v="465"/>
    <x v="0"/>
    <x v="4"/>
    <x v="1"/>
    <x v="7"/>
    <n v="52221"/>
    <n v="731094"/>
  </r>
  <r>
    <x v="466"/>
    <x v="1"/>
    <x v="1"/>
    <x v="3"/>
    <x v="13"/>
    <n v="49942"/>
    <n v="898956"/>
  </r>
  <r>
    <x v="467"/>
    <x v="2"/>
    <x v="0"/>
    <x v="2"/>
    <x v="15"/>
    <n v="8453"/>
    <n v="160607"/>
  </r>
  <r>
    <x v="468"/>
    <x v="2"/>
    <x v="0"/>
    <x v="2"/>
    <x v="10"/>
    <n v="59935"/>
    <n v="539415"/>
  </r>
  <r>
    <x v="469"/>
    <x v="1"/>
    <x v="3"/>
    <x v="3"/>
    <x v="9"/>
    <n v="48370"/>
    <n v="338590"/>
  </r>
  <r>
    <x v="470"/>
    <x v="2"/>
    <x v="3"/>
    <x v="5"/>
    <x v="14"/>
    <n v="13328"/>
    <n v="39984"/>
  </r>
  <r>
    <x v="471"/>
    <x v="1"/>
    <x v="1"/>
    <x v="2"/>
    <x v="3"/>
    <n v="20534"/>
    <n v="123204"/>
  </r>
  <r>
    <x v="472"/>
    <x v="0"/>
    <x v="0"/>
    <x v="1"/>
    <x v="17"/>
    <n v="41320"/>
    <n v="82640"/>
  </r>
  <r>
    <x v="473"/>
    <x v="1"/>
    <x v="1"/>
    <x v="4"/>
    <x v="3"/>
    <n v="54170"/>
    <n v="325020"/>
  </r>
  <r>
    <x v="474"/>
    <x v="0"/>
    <x v="3"/>
    <x v="2"/>
    <x v="14"/>
    <n v="13640"/>
    <n v="40920"/>
  </r>
  <r>
    <x v="475"/>
    <x v="1"/>
    <x v="3"/>
    <x v="1"/>
    <x v="5"/>
    <n v="35049"/>
    <n v="560784"/>
  </r>
  <r>
    <x v="476"/>
    <x v="2"/>
    <x v="0"/>
    <x v="0"/>
    <x v="18"/>
    <n v="10618"/>
    <n v="84944"/>
  </r>
  <r>
    <x v="477"/>
    <x v="1"/>
    <x v="2"/>
    <x v="1"/>
    <x v="17"/>
    <n v="61053"/>
    <n v="122106"/>
  </r>
  <r>
    <x v="478"/>
    <x v="2"/>
    <x v="4"/>
    <x v="4"/>
    <x v="2"/>
    <n v="6920"/>
    <n v="117640"/>
  </r>
  <r>
    <x v="479"/>
    <x v="1"/>
    <x v="3"/>
    <x v="1"/>
    <x v="10"/>
    <n v="48937"/>
    <n v="440433"/>
  </r>
  <r>
    <x v="480"/>
    <x v="1"/>
    <x v="3"/>
    <x v="3"/>
    <x v="16"/>
    <n v="74724"/>
    <n v="896688"/>
  </r>
  <r>
    <x v="481"/>
    <x v="3"/>
    <x v="2"/>
    <x v="4"/>
    <x v="14"/>
    <n v="17207"/>
    <n v="51621"/>
  </r>
  <r>
    <x v="482"/>
    <x v="2"/>
    <x v="2"/>
    <x v="5"/>
    <x v="8"/>
    <n v="70774"/>
    <n v="778514"/>
  </r>
  <r>
    <x v="483"/>
    <x v="3"/>
    <x v="1"/>
    <x v="0"/>
    <x v="1"/>
    <n v="37972"/>
    <n v="37972"/>
  </r>
  <r>
    <x v="484"/>
    <x v="2"/>
    <x v="1"/>
    <x v="3"/>
    <x v="0"/>
    <n v="15799"/>
    <n v="205387"/>
  </r>
  <r>
    <x v="485"/>
    <x v="3"/>
    <x v="4"/>
    <x v="5"/>
    <x v="6"/>
    <n v="33916"/>
    <n v="508740"/>
  </r>
  <r>
    <x v="486"/>
    <x v="0"/>
    <x v="4"/>
    <x v="1"/>
    <x v="11"/>
    <n v="42158"/>
    <n v="210790"/>
  </r>
  <r>
    <x v="487"/>
    <x v="1"/>
    <x v="0"/>
    <x v="4"/>
    <x v="2"/>
    <n v="66510"/>
    <n v="1130670"/>
  </r>
  <r>
    <x v="488"/>
    <x v="2"/>
    <x v="1"/>
    <x v="0"/>
    <x v="3"/>
    <n v="63692"/>
    <n v="382152"/>
  </r>
  <r>
    <x v="489"/>
    <x v="2"/>
    <x v="3"/>
    <x v="3"/>
    <x v="8"/>
    <n v="66744"/>
    <n v="734184"/>
  </r>
  <r>
    <x v="490"/>
    <x v="1"/>
    <x v="1"/>
    <x v="5"/>
    <x v="13"/>
    <n v="20810"/>
    <n v="374580"/>
  </r>
  <r>
    <x v="491"/>
    <x v="2"/>
    <x v="3"/>
    <x v="5"/>
    <x v="4"/>
    <n v="10126"/>
    <n v="40504"/>
  </r>
  <r>
    <x v="492"/>
    <x v="2"/>
    <x v="2"/>
    <x v="0"/>
    <x v="14"/>
    <n v="35009"/>
    <n v="105027"/>
  </r>
  <r>
    <x v="493"/>
    <x v="3"/>
    <x v="1"/>
    <x v="1"/>
    <x v="0"/>
    <n v="5192"/>
    <n v="67496"/>
  </r>
  <r>
    <x v="494"/>
    <x v="2"/>
    <x v="2"/>
    <x v="0"/>
    <x v="10"/>
    <n v="41413"/>
    <n v="372717"/>
  </r>
  <r>
    <x v="495"/>
    <x v="0"/>
    <x v="4"/>
    <x v="5"/>
    <x v="3"/>
    <n v="17816"/>
    <n v="106896"/>
  </r>
  <r>
    <x v="496"/>
    <x v="0"/>
    <x v="4"/>
    <x v="2"/>
    <x v="16"/>
    <n v="44082"/>
    <n v="528984"/>
  </r>
  <r>
    <x v="497"/>
    <x v="1"/>
    <x v="0"/>
    <x v="3"/>
    <x v="17"/>
    <n v="70048"/>
    <n v="140096"/>
  </r>
  <r>
    <x v="498"/>
    <x v="2"/>
    <x v="1"/>
    <x v="0"/>
    <x v="14"/>
    <n v="55940"/>
    <n v="167820"/>
  </r>
  <r>
    <x v="499"/>
    <x v="1"/>
    <x v="2"/>
    <x v="5"/>
    <x v="14"/>
    <n v="37130"/>
    <n v="111390"/>
  </r>
  <r>
    <x v="500"/>
    <x v="0"/>
    <x v="3"/>
    <x v="1"/>
    <x v="16"/>
    <n v="45142"/>
    <n v="541704"/>
  </r>
  <r>
    <x v="501"/>
    <x v="2"/>
    <x v="4"/>
    <x v="5"/>
    <x v="6"/>
    <n v="41468"/>
    <n v="622020"/>
  </r>
  <r>
    <x v="502"/>
    <x v="2"/>
    <x v="4"/>
    <x v="1"/>
    <x v="10"/>
    <n v="35698"/>
    <n v="321282"/>
  </r>
  <r>
    <x v="503"/>
    <x v="1"/>
    <x v="3"/>
    <x v="0"/>
    <x v="18"/>
    <n v="15655"/>
    <n v="125240"/>
  </r>
  <r>
    <x v="504"/>
    <x v="0"/>
    <x v="2"/>
    <x v="1"/>
    <x v="8"/>
    <n v="52897"/>
    <n v="581867"/>
  </r>
  <r>
    <x v="505"/>
    <x v="2"/>
    <x v="2"/>
    <x v="4"/>
    <x v="5"/>
    <n v="35075"/>
    <n v="561200"/>
  </r>
  <r>
    <x v="506"/>
    <x v="1"/>
    <x v="1"/>
    <x v="4"/>
    <x v="4"/>
    <n v="14359"/>
    <n v="57436"/>
  </r>
  <r>
    <x v="507"/>
    <x v="0"/>
    <x v="1"/>
    <x v="4"/>
    <x v="1"/>
    <n v="47056"/>
    <n v="47056"/>
  </r>
  <r>
    <x v="508"/>
    <x v="1"/>
    <x v="0"/>
    <x v="2"/>
    <x v="9"/>
    <n v="56831"/>
    <n v="397817"/>
  </r>
  <r>
    <x v="509"/>
    <x v="3"/>
    <x v="4"/>
    <x v="0"/>
    <x v="17"/>
    <n v="64191"/>
    <n v="128382"/>
  </r>
  <r>
    <x v="510"/>
    <x v="2"/>
    <x v="1"/>
    <x v="5"/>
    <x v="11"/>
    <n v="38272"/>
    <n v="191360"/>
  </r>
  <r>
    <x v="511"/>
    <x v="3"/>
    <x v="2"/>
    <x v="5"/>
    <x v="9"/>
    <n v="19671"/>
    <n v="137697"/>
  </r>
  <r>
    <x v="512"/>
    <x v="0"/>
    <x v="3"/>
    <x v="2"/>
    <x v="4"/>
    <n v="32048"/>
    <n v="128192"/>
  </r>
  <r>
    <x v="513"/>
    <x v="3"/>
    <x v="2"/>
    <x v="1"/>
    <x v="11"/>
    <n v="30963"/>
    <n v="154815"/>
  </r>
  <r>
    <x v="514"/>
    <x v="3"/>
    <x v="4"/>
    <x v="2"/>
    <x v="1"/>
    <n v="48954"/>
    <n v="48954"/>
  </r>
  <r>
    <x v="515"/>
    <x v="0"/>
    <x v="2"/>
    <x v="1"/>
    <x v="1"/>
    <n v="5717"/>
    <n v="5717"/>
  </r>
  <r>
    <x v="516"/>
    <x v="1"/>
    <x v="0"/>
    <x v="1"/>
    <x v="6"/>
    <n v="16676"/>
    <n v="250140"/>
  </r>
  <r>
    <x v="517"/>
    <x v="3"/>
    <x v="4"/>
    <x v="3"/>
    <x v="15"/>
    <n v="9434"/>
    <n v="179246"/>
  </r>
  <r>
    <x v="518"/>
    <x v="1"/>
    <x v="3"/>
    <x v="5"/>
    <x v="12"/>
    <n v="54810"/>
    <n v="548100"/>
  </r>
  <r>
    <x v="519"/>
    <x v="3"/>
    <x v="0"/>
    <x v="4"/>
    <x v="13"/>
    <n v="9994"/>
    <n v="179892"/>
  </r>
  <r>
    <x v="520"/>
    <x v="1"/>
    <x v="4"/>
    <x v="1"/>
    <x v="14"/>
    <n v="9234"/>
    <n v="27702"/>
  </r>
  <r>
    <x v="521"/>
    <x v="0"/>
    <x v="3"/>
    <x v="3"/>
    <x v="8"/>
    <n v="74300"/>
    <n v="817300"/>
  </r>
  <r>
    <x v="522"/>
    <x v="3"/>
    <x v="0"/>
    <x v="5"/>
    <x v="6"/>
    <n v="48949"/>
    <n v="734235"/>
  </r>
  <r>
    <x v="523"/>
    <x v="0"/>
    <x v="0"/>
    <x v="4"/>
    <x v="8"/>
    <n v="42405"/>
    <n v="466455"/>
  </r>
  <r>
    <x v="524"/>
    <x v="3"/>
    <x v="4"/>
    <x v="1"/>
    <x v="2"/>
    <n v="39872"/>
    <n v="677824"/>
  </r>
  <r>
    <x v="525"/>
    <x v="0"/>
    <x v="1"/>
    <x v="1"/>
    <x v="2"/>
    <n v="47215"/>
    <n v="802655"/>
  </r>
  <r>
    <x v="526"/>
    <x v="0"/>
    <x v="0"/>
    <x v="2"/>
    <x v="3"/>
    <n v="28185"/>
    <n v="169110"/>
  </r>
  <r>
    <x v="527"/>
    <x v="3"/>
    <x v="0"/>
    <x v="2"/>
    <x v="11"/>
    <n v="48442"/>
    <n v="242210"/>
  </r>
  <r>
    <x v="528"/>
    <x v="3"/>
    <x v="3"/>
    <x v="5"/>
    <x v="18"/>
    <n v="56759"/>
    <n v="454072"/>
  </r>
  <r>
    <x v="529"/>
    <x v="3"/>
    <x v="2"/>
    <x v="4"/>
    <x v="17"/>
    <n v="46153"/>
    <n v="92306"/>
  </r>
  <r>
    <x v="530"/>
    <x v="2"/>
    <x v="4"/>
    <x v="1"/>
    <x v="5"/>
    <n v="7581"/>
    <n v="121296"/>
  </r>
  <r>
    <x v="531"/>
    <x v="1"/>
    <x v="4"/>
    <x v="5"/>
    <x v="16"/>
    <n v="56717"/>
    <n v="680604"/>
  </r>
  <r>
    <x v="532"/>
    <x v="2"/>
    <x v="1"/>
    <x v="5"/>
    <x v="3"/>
    <n v="7763"/>
    <n v="46578"/>
  </r>
  <r>
    <x v="533"/>
    <x v="2"/>
    <x v="1"/>
    <x v="0"/>
    <x v="1"/>
    <n v="60480"/>
    <n v="60480"/>
  </r>
  <r>
    <x v="534"/>
    <x v="0"/>
    <x v="4"/>
    <x v="2"/>
    <x v="4"/>
    <n v="43759"/>
    <n v="175036"/>
  </r>
  <r>
    <x v="535"/>
    <x v="3"/>
    <x v="1"/>
    <x v="4"/>
    <x v="2"/>
    <n v="30307"/>
    <n v="515219"/>
  </r>
  <r>
    <x v="536"/>
    <x v="1"/>
    <x v="3"/>
    <x v="1"/>
    <x v="0"/>
    <n v="16064"/>
    <n v="208832"/>
  </r>
  <r>
    <x v="537"/>
    <x v="0"/>
    <x v="4"/>
    <x v="5"/>
    <x v="13"/>
    <n v="42548"/>
    <n v="765864"/>
  </r>
  <r>
    <x v="538"/>
    <x v="2"/>
    <x v="1"/>
    <x v="1"/>
    <x v="11"/>
    <n v="41945"/>
    <n v="209725"/>
  </r>
  <r>
    <x v="539"/>
    <x v="3"/>
    <x v="4"/>
    <x v="0"/>
    <x v="14"/>
    <n v="52937"/>
    <n v="158811"/>
  </r>
  <r>
    <x v="540"/>
    <x v="0"/>
    <x v="2"/>
    <x v="4"/>
    <x v="8"/>
    <n v="11476"/>
    <n v="126236"/>
  </r>
  <r>
    <x v="541"/>
    <x v="3"/>
    <x v="0"/>
    <x v="5"/>
    <x v="0"/>
    <n v="56756"/>
    <n v="737828"/>
  </r>
  <r>
    <x v="542"/>
    <x v="0"/>
    <x v="4"/>
    <x v="1"/>
    <x v="4"/>
    <n v="7382"/>
    <n v="29528"/>
  </r>
  <r>
    <x v="543"/>
    <x v="3"/>
    <x v="0"/>
    <x v="2"/>
    <x v="7"/>
    <n v="54683"/>
    <n v="765562"/>
  </r>
  <r>
    <x v="544"/>
    <x v="2"/>
    <x v="1"/>
    <x v="0"/>
    <x v="8"/>
    <n v="50276"/>
    <n v="553036"/>
  </r>
  <r>
    <x v="545"/>
    <x v="1"/>
    <x v="0"/>
    <x v="4"/>
    <x v="12"/>
    <n v="38402"/>
    <n v="384020"/>
  </r>
  <r>
    <x v="546"/>
    <x v="2"/>
    <x v="4"/>
    <x v="0"/>
    <x v="15"/>
    <n v="31946"/>
    <n v="606974"/>
  </r>
  <r>
    <x v="547"/>
    <x v="1"/>
    <x v="2"/>
    <x v="2"/>
    <x v="13"/>
    <n v="27335"/>
    <n v="492030"/>
  </r>
  <r>
    <x v="548"/>
    <x v="3"/>
    <x v="1"/>
    <x v="4"/>
    <x v="3"/>
    <n v="50095"/>
    <n v="300570"/>
  </r>
  <r>
    <x v="549"/>
    <x v="0"/>
    <x v="4"/>
    <x v="0"/>
    <x v="6"/>
    <n v="32197"/>
    <n v="482955"/>
  </r>
  <r>
    <x v="550"/>
    <x v="2"/>
    <x v="1"/>
    <x v="3"/>
    <x v="12"/>
    <n v="27010"/>
    <n v="270100"/>
  </r>
  <r>
    <x v="551"/>
    <x v="1"/>
    <x v="3"/>
    <x v="2"/>
    <x v="11"/>
    <n v="29123"/>
    <n v="145615"/>
  </r>
  <r>
    <x v="552"/>
    <x v="2"/>
    <x v="0"/>
    <x v="2"/>
    <x v="11"/>
    <n v="7890"/>
    <n v="39450"/>
  </r>
  <r>
    <x v="553"/>
    <x v="1"/>
    <x v="3"/>
    <x v="2"/>
    <x v="12"/>
    <n v="13026"/>
    <n v="130260"/>
  </r>
  <r>
    <x v="554"/>
    <x v="2"/>
    <x v="4"/>
    <x v="3"/>
    <x v="11"/>
    <n v="69925"/>
    <n v="349625"/>
  </r>
  <r>
    <x v="555"/>
    <x v="1"/>
    <x v="2"/>
    <x v="3"/>
    <x v="14"/>
    <n v="73842"/>
    <n v="221526"/>
  </r>
  <r>
    <x v="556"/>
    <x v="1"/>
    <x v="1"/>
    <x v="1"/>
    <x v="3"/>
    <n v="38665"/>
    <n v="231990"/>
  </r>
  <r>
    <x v="557"/>
    <x v="3"/>
    <x v="0"/>
    <x v="5"/>
    <x v="4"/>
    <n v="14277"/>
    <n v="57108"/>
  </r>
  <r>
    <x v="558"/>
    <x v="1"/>
    <x v="1"/>
    <x v="0"/>
    <x v="13"/>
    <n v="47239"/>
    <n v="850302"/>
  </r>
  <r>
    <x v="559"/>
    <x v="3"/>
    <x v="4"/>
    <x v="1"/>
    <x v="10"/>
    <n v="52664"/>
    <n v="473976"/>
  </r>
  <r>
    <x v="560"/>
    <x v="1"/>
    <x v="1"/>
    <x v="0"/>
    <x v="2"/>
    <n v="53008"/>
    <n v="901136"/>
  </r>
  <r>
    <x v="561"/>
    <x v="0"/>
    <x v="0"/>
    <x v="5"/>
    <x v="0"/>
    <n v="19683"/>
    <n v="255879"/>
  </r>
  <r>
    <x v="562"/>
    <x v="0"/>
    <x v="4"/>
    <x v="3"/>
    <x v="6"/>
    <n v="5670"/>
    <n v="85050"/>
  </r>
  <r>
    <x v="563"/>
    <x v="0"/>
    <x v="1"/>
    <x v="5"/>
    <x v="2"/>
    <n v="22889"/>
    <n v="389113"/>
  </r>
  <r>
    <x v="564"/>
    <x v="1"/>
    <x v="2"/>
    <x v="3"/>
    <x v="0"/>
    <n v="60612"/>
    <n v="787956"/>
  </r>
  <r>
    <x v="565"/>
    <x v="3"/>
    <x v="4"/>
    <x v="5"/>
    <x v="5"/>
    <n v="49535"/>
    <n v="792560"/>
  </r>
  <r>
    <x v="566"/>
    <x v="3"/>
    <x v="4"/>
    <x v="1"/>
    <x v="4"/>
    <n v="59319"/>
    <n v="237276"/>
  </r>
  <r>
    <x v="567"/>
    <x v="1"/>
    <x v="2"/>
    <x v="4"/>
    <x v="11"/>
    <n v="26639"/>
    <n v="133195"/>
  </r>
  <r>
    <x v="568"/>
    <x v="0"/>
    <x v="3"/>
    <x v="1"/>
    <x v="11"/>
    <n v="69712"/>
    <n v="348560"/>
  </r>
  <r>
    <x v="569"/>
    <x v="0"/>
    <x v="0"/>
    <x v="0"/>
    <x v="10"/>
    <n v="21633"/>
    <n v="194697"/>
  </r>
  <r>
    <x v="570"/>
    <x v="3"/>
    <x v="3"/>
    <x v="1"/>
    <x v="2"/>
    <n v="39660"/>
    <n v="674220"/>
  </r>
  <r>
    <x v="571"/>
    <x v="0"/>
    <x v="1"/>
    <x v="2"/>
    <x v="0"/>
    <n v="73975"/>
    <n v="961675"/>
  </r>
  <r>
    <x v="572"/>
    <x v="2"/>
    <x v="2"/>
    <x v="0"/>
    <x v="17"/>
    <n v="37172"/>
    <n v="74344"/>
  </r>
  <r>
    <x v="573"/>
    <x v="3"/>
    <x v="3"/>
    <x v="5"/>
    <x v="0"/>
    <n v="64197"/>
    <n v="834561"/>
  </r>
  <r>
    <x v="574"/>
    <x v="0"/>
    <x v="4"/>
    <x v="0"/>
    <x v="15"/>
    <n v="63847"/>
    <n v="1213093"/>
  </r>
  <r>
    <x v="575"/>
    <x v="3"/>
    <x v="1"/>
    <x v="4"/>
    <x v="14"/>
    <n v="16577"/>
    <n v="49731"/>
  </r>
  <r>
    <x v="576"/>
    <x v="2"/>
    <x v="1"/>
    <x v="3"/>
    <x v="12"/>
    <n v="25176"/>
    <n v="251760"/>
  </r>
  <r>
    <x v="577"/>
    <x v="3"/>
    <x v="3"/>
    <x v="5"/>
    <x v="17"/>
    <n v="49386"/>
    <n v="98772"/>
  </r>
  <r>
    <x v="578"/>
    <x v="3"/>
    <x v="3"/>
    <x v="0"/>
    <x v="0"/>
    <n v="68972"/>
    <n v="896636"/>
  </r>
  <r>
    <x v="579"/>
    <x v="3"/>
    <x v="2"/>
    <x v="5"/>
    <x v="15"/>
    <n v="46003"/>
    <n v="874057"/>
  </r>
  <r>
    <x v="580"/>
    <x v="3"/>
    <x v="0"/>
    <x v="5"/>
    <x v="2"/>
    <n v="24996"/>
    <n v="424932"/>
  </r>
  <r>
    <x v="581"/>
    <x v="2"/>
    <x v="3"/>
    <x v="5"/>
    <x v="7"/>
    <n v="40931"/>
    <n v="573034"/>
  </r>
  <r>
    <x v="582"/>
    <x v="1"/>
    <x v="3"/>
    <x v="3"/>
    <x v="16"/>
    <n v="40710"/>
    <n v="488520"/>
  </r>
  <r>
    <x v="583"/>
    <x v="3"/>
    <x v="4"/>
    <x v="1"/>
    <x v="16"/>
    <n v="39693"/>
    <n v="476316"/>
  </r>
  <r>
    <x v="584"/>
    <x v="3"/>
    <x v="1"/>
    <x v="5"/>
    <x v="8"/>
    <n v="40740"/>
    <n v="448140"/>
  </r>
  <r>
    <x v="585"/>
    <x v="0"/>
    <x v="0"/>
    <x v="2"/>
    <x v="9"/>
    <n v="22374"/>
    <n v="156618"/>
  </r>
  <r>
    <x v="586"/>
    <x v="3"/>
    <x v="4"/>
    <x v="4"/>
    <x v="4"/>
    <n v="50913"/>
    <n v="203652"/>
  </r>
  <r>
    <x v="587"/>
    <x v="0"/>
    <x v="2"/>
    <x v="3"/>
    <x v="15"/>
    <n v="71025"/>
    <n v="1349475"/>
  </r>
  <r>
    <x v="588"/>
    <x v="1"/>
    <x v="2"/>
    <x v="0"/>
    <x v="1"/>
    <n v="49516"/>
    <n v="49516"/>
  </r>
  <r>
    <x v="589"/>
    <x v="2"/>
    <x v="3"/>
    <x v="3"/>
    <x v="14"/>
    <n v="31069"/>
    <n v="93207"/>
  </r>
  <r>
    <x v="590"/>
    <x v="2"/>
    <x v="3"/>
    <x v="0"/>
    <x v="0"/>
    <n v="61233"/>
    <n v="796029"/>
  </r>
  <r>
    <x v="591"/>
    <x v="1"/>
    <x v="2"/>
    <x v="3"/>
    <x v="6"/>
    <n v="64049"/>
    <n v="960735"/>
  </r>
  <r>
    <x v="592"/>
    <x v="2"/>
    <x v="3"/>
    <x v="0"/>
    <x v="17"/>
    <n v="44178"/>
    <n v="88356"/>
  </r>
  <r>
    <x v="593"/>
    <x v="1"/>
    <x v="0"/>
    <x v="5"/>
    <x v="8"/>
    <n v="37821"/>
    <n v="416031"/>
  </r>
  <r>
    <x v="594"/>
    <x v="1"/>
    <x v="3"/>
    <x v="1"/>
    <x v="4"/>
    <n v="56727"/>
    <n v="226908"/>
  </r>
  <r>
    <x v="595"/>
    <x v="1"/>
    <x v="1"/>
    <x v="0"/>
    <x v="15"/>
    <n v="65935"/>
    <n v="1252765"/>
  </r>
  <r>
    <x v="596"/>
    <x v="2"/>
    <x v="3"/>
    <x v="0"/>
    <x v="2"/>
    <n v="21999"/>
    <n v="373983"/>
  </r>
  <r>
    <x v="597"/>
    <x v="0"/>
    <x v="4"/>
    <x v="2"/>
    <x v="14"/>
    <n v="67522"/>
    <n v="202566"/>
  </r>
  <r>
    <x v="598"/>
    <x v="1"/>
    <x v="0"/>
    <x v="0"/>
    <x v="13"/>
    <n v="43712"/>
    <n v="786816"/>
  </r>
  <r>
    <x v="599"/>
    <x v="3"/>
    <x v="4"/>
    <x v="2"/>
    <x v="18"/>
    <n v="69551"/>
    <n v="556408"/>
  </r>
  <r>
    <x v="600"/>
    <x v="2"/>
    <x v="4"/>
    <x v="4"/>
    <x v="15"/>
    <n v="45172"/>
    <n v="858268"/>
  </r>
  <r>
    <x v="601"/>
    <x v="1"/>
    <x v="1"/>
    <x v="5"/>
    <x v="11"/>
    <n v="38722"/>
    <n v="193610"/>
  </r>
  <r>
    <x v="602"/>
    <x v="1"/>
    <x v="0"/>
    <x v="2"/>
    <x v="9"/>
    <n v="15625"/>
    <n v="109375"/>
  </r>
  <r>
    <x v="603"/>
    <x v="3"/>
    <x v="0"/>
    <x v="1"/>
    <x v="18"/>
    <n v="72165"/>
    <n v="577320"/>
  </r>
  <r>
    <x v="604"/>
    <x v="0"/>
    <x v="0"/>
    <x v="5"/>
    <x v="11"/>
    <n v="11859"/>
    <n v="59295"/>
  </r>
  <r>
    <x v="605"/>
    <x v="0"/>
    <x v="0"/>
    <x v="2"/>
    <x v="2"/>
    <n v="46609"/>
    <n v="792353"/>
  </r>
  <r>
    <x v="606"/>
    <x v="0"/>
    <x v="0"/>
    <x v="5"/>
    <x v="11"/>
    <n v="48307"/>
    <n v="241535"/>
  </r>
  <r>
    <x v="607"/>
    <x v="1"/>
    <x v="1"/>
    <x v="5"/>
    <x v="4"/>
    <n v="26839"/>
    <n v="107356"/>
  </r>
  <r>
    <x v="608"/>
    <x v="1"/>
    <x v="3"/>
    <x v="5"/>
    <x v="15"/>
    <n v="32216"/>
    <n v="612104"/>
  </r>
  <r>
    <x v="609"/>
    <x v="1"/>
    <x v="4"/>
    <x v="4"/>
    <x v="17"/>
    <n v="57953"/>
    <n v="115906"/>
  </r>
  <r>
    <x v="610"/>
    <x v="2"/>
    <x v="0"/>
    <x v="1"/>
    <x v="8"/>
    <n v="65593"/>
    <n v="721523"/>
  </r>
  <r>
    <x v="611"/>
    <x v="3"/>
    <x v="3"/>
    <x v="3"/>
    <x v="0"/>
    <n v="54522"/>
    <n v="708786"/>
  </r>
  <r>
    <x v="612"/>
    <x v="1"/>
    <x v="3"/>
    <x v="3"/>
    <x v="6"/>
    <n v="9886"/>
    <n v="148290"/>
  </r>
  <r>
    <x v="613"/>
    <x v="3"/>
    <x v="4"/>
    <x v="2"/>
    <x v="16"/>
    <n v="12485"/>
    <n v="149820"/>
  </r>
  <r>
    <x v="614"/>
    <x v="3"/>
    <x v="1"/>
    <x v="5"/>
    <x v="8"/>
    <n v="36455"/>
    <n v="401005"/>
  </r>
  <r>
    <x v="615"/>
    <x v="0"/>
    <x v="2"/>
    <x v="2"/>
    <x v="9"/>
    <n v="21767"/>
    <n v="152369"/>
  </r>
  <r>
    <x v="616"/>
    <x v="2"/>
    <x v="2"/>
    <x v="4"/>
    <x v="11"/>
    <n v="33453"/>
    <n v="167265"/>
  </r>
  <r>
    <x v="617"/>
    <x v="1"/>
    <x v="3"/>
    <x v="4"/>
    <x v="2"/>
    <n v="58442"/>
    <n v="993514"/>
  </r>
  <r>
    <x v="618"/>
    <x v="0"/>
    <x v="4"/>
    <x v="0"/>
    <x v="10"/>
    <n v="56877"/>
    <n v="511893"/>
  </r>
  <r>
    <x v="619"/>
    <x v="0"/>
    <x v="2"/>
    <x v="4"/>
    <x v="7"/>
    <n v="17226"/>
    <n v="241164"/>
  </r>
  <r>
    <x v="620"/>
    <x v="1"/>
    <x v="3"/>
    <x v="0"/>
    <x v="16"/>
    <n v="27588"/>
    <n v="331056"/>
  </r>
  <r>
    <x v="621"/>
    <x v="3"/>
    <x v="1"/>
    <x v="1"/>
    <x v="3"/>
    <n v="36709"/>
    <n v="220254"/>
  </r>
  <r>
    <x v="622"/>
    <x v="0"/>
    <x v="2"/>
    <x v="2"/>
    <x v="2"/>
    <n v="52788"/>
    <n v="897396"/>
  </r>
  <r>
    <x v="623"/>
    <x v="3"/>
    <x v="3"/>
    <x v="1"/>
    <x v="15"/>
    <n v="42019"/>
    <n v="798361"/>
  </r>
  <r>
    <x v="624"/>
    <x v="2"/>
    <x v="3"/>
    <x v="4"/>
    <x v="15"/>
    <n v="49948"/>
    <n v="949012"/>
  </r>
  <r>
    <x v="625"/>
    <x v="3"/>
    <x v="0"/>
    <x v="1"/>
    <x v="5"/>
    <n v="70133"/>
    <n v="1122128"/>
  </r>
  <r>
    <x v="626"/>
    <x v="2"/>
    <x v="1"/>
    <x v="1"/>
    <x v="16"/>
    <n v="71458"/>
    <n v="857496"/>
  </r>
  <r>
    <x v="627"/>
    <x v="3"/>
    <x v="0"/>
    <x v="1"/>
    <x v="16"/>
    <n v="32526"/>
    <n v="390312"/>
  </r>
  <r>
    <x v="628"/>
    <x v="0"/>
    <x v="4"/>
    <x v="4"/>
    <x v="3"/>
    <n v="57198"/>
    <n v="343188"/>
  </r>
  <r>
    <x v="629"/>
    <x v="0"/>
    <x v="0"/>
    <x v="5"/>
    <x v="4"/>
    <n v="48395"/>
    <n v="193580"/>
  </r>
  <r>
    <x v="630"/>
    <x v="2"/>
    <x v="0"/>
    <x v="1"/>
    <x v="3"/>
    <n v="29031"/>
    <n v="174186"/>
  </r>
  <r>
    <x v="631"/>
    <x v="1"/>
    <x v="2"/>
    <x v="0"/>
    <x v="8"/>
    <n v="42701"/>
    <n v="469711"/>
  </r>
  <r>
    <x v="632"/>
    <x v="2"/>
    <x v="3"/>
    <x v="4"/>
    <x v="1"/>
    <n v="30939"/>
    <n v="30939"/>
  </r>
  <r>
    <x v="633"/>
    <x v="2"/>
    <x v="1"/>
    <x v="1"/>
    <x v="6"/>
    <n v="54145"/>
    <n v="812175"/>
  </r>
  <r>
    <x v="634"/>
    <x v="3"/>
    <x v="0"/>
    <x v="5"/>
    <x v="8"/>
    <n v="25324"/>
    <n v="278564"/>
  </r>
  <r>
    <x v="635"/>
    <x v="3"/>
    <x v="1"/>
    <x v="4"/>
    <x v="15"/>
    <n v="27867"/>
    <n v="529473"/>
  </r>
  <r>
    <x v="636"/>
    <x v="2"/>
    <x v="0"/>
    <x v="3"/>
    <x v="13"/>
    <n v="5203"/>
    <n v="93654"/>
  </r>
  <r>
    <x v="637"/>
    <x v="0"/>
    <x v="4"/>
    <x v="5"/>
    <x v="2"/>
    <n v="21544"/>
    <n v="366248"/>
  </r>
  <r>
    <x v="638"/>
    <x v="3"/>
    <x v="0"/>
    <x v="0"/>
    <x v="15"/>
    <n v="20899"/>
    <n v="397081"/>
  </r>
  <r>
    <x v="639"/>
    <x v="1"/>
    <x v="2"/>
    <x v="1"/>
    <x v="7"/>
    <n v="34063"/>
    <n v="476882"/>
  </r>
  <r>
    <x v="640"/>
    <x v="3"/>
    <x v="3"/>
    <x v="3"/>
    <x v="13"/>
    <n v="8748"/>
    <n v="157464"/>
  </r>
  <r>
    <x v="641"/>
    <x v="3"/>
    <x v="4"/>
    <x v="3"/>
    <x v="15"/>
    <n v="71629"/>
    <n v="1360951"/>
  </r>
  <r>
    <x v="642"/>
    <x v="1"/>
    <x v="0"/>
    <x v="4"/>
    <x v="6"/>
    <n v="25884"/>
    <n v="388260"/>
  </r>
  <r>
    <x v="643"/>
    <x v="2"/>
    <x v="1"/>
    <x v="3"/>
    <x v="6"/>
    <n v="30183"/>
    <n v="452745"/>
  </r>
  <r>
    <x v="644"/>
    <x v="1"/>
    <x v="4"/>
    <x v="0"/>
    <x v="4"/>
    <n v="24259"/>
    <n v="97036"/>
  </r>
  <r>
    <x v="645"/>
    <x v="2"/>
    <x v="4"/>
    <x v="0"/>
    <x v="9"/>
    <n v="40959"/>
    <n v="286713"/>
  </r>
  <r>
    <x v="646"/>
    <x v="2"/>
    <x v="0"/>
    <x v="2"/>
    <x v="0"/>
    <n v="38457"/>
    <n v="499941"/>
  </r>
  <r>
    <x v="647"/>
    <x v="2"/>
    <x v="4"/>
    <x v="0"/>
    <x v="14"/>
    <n v="7103"/>
    <n v="21309"/>
  </r>
  <r>
    <x v="648"/>
    <x v="1"/>
    <x v="1"/>
    <x v="5"/>
    <x v="5"/>
    <n v="70901"/>
    <n v="1134416"/>
  </r>
  <r>
    <x v="649"/>
    <x v="2"/>
    <x v="4"/>
    <x v="3"/>
    <x v="10"/>
    <n v="49535"/>
    <n v="445815"/>
  </r>
  <r>
    <x v="650"/>
    <x v="0"/>
    <x v="1"/>
    <x v="0"/>
    <x v="18"/>
    <n v="21103"/>
    <n v="168824"/>
  </r>
  <r>
    <x v="651"/>
    <x v="1"/>
    <x v="0"/>
    <x v="4"/>
    <x v="0"/>
    <n v="17391"/>
    <n v="226083"/>
  </r>
  <r>
    <x v="652"/>
    <x v="0"/>
    <x v="3"/>
    <x v="2"/>
    <x v="2"/>
    <n v="33901"/>
    <n v="576317"/>
  </r>
  <r>
    <x v="653"/>
    <x v="2"/>
    <x v="4"/>
    <x v="3"/>
    <x v="2"/>
    <n v="72914"/>
    <n v="1239538"/>
  </r>
  <r>
    <x v="654"/>
    <x v="3"/>
    <x v="3"/>
    <x v="2"/>
    <x v="2"/>
    <n v="55357"/>
    <n v="941069"/>
  </r>
  <r>
    <x v="655"/>
    <x v="2"/>
    <x v="1"/>
    <x v="3"/>
    <x v="1"/>
    <n v="43437"/>
    <n v="43437"/>
  </r>
  <r>
    <x v="656"/>
    <x v="0"/>
    <x v="4"/>
    <x v="4"/>
    <x v="18"/>
    <n v="40503"/>
    <n v="324024"/>
  </r>
  <r>
    <x v="657"/>
    <x v="0"/>
    <x v="2"/>
    <x v="2"/>
    <x v="15"/>
    <n v="46258"/>
    <n v="878902"/>
  </r>
  <r>
    <x v="658"/>
    <x v="1"/>
    <x v="3"/>
    <x v="1"/>
    <x v="3"/>
    <n v="38724"/>
    <n v="232344"/>
  </r>
  <r>
    <x v="659"/>
    <x v="3"/>
    <x v="4"/>
    <x v="5"/>
    <x v="14"/>
    <n v="69286"/>
    <n v="207858"/>
  </r>
  <r>
    <x v="660"/>
    <x v="1"/>
    <x v="3"/>
    <x v="5"/>
    <x v="11"/>
    <n v="19908"/>
    <n v="99540"/>
  </r>
  <r>
    <x v="661"/>
    <x v="0"/>
    <x v="4"/>
    <x v="3"/>
    <x v="0"/>
    <n v="55626"/>
    <n v="723138"/>
  </r>
  <r>
    <x v="662"/>
    <x v="2"/>
    <x v="0"/>
    <x v="1"/>
    <x v="6"/>
    <n v="42228"/>
    <n v="633420"/>
  </r>
  <r>
    <x v="663"/>
    <x v="3"/>
    <x v="3"/>
    <x v="2"/>
    <x v="7"/>
    <n v="28386"/>
    <n v="397404"/>
  </r>
  <r>
    <x v="664"/>
    <x v="2"/>
    <x v="2"/>
    <x v="1"/>
    <x v="5"/>
    <n v="51754"/>
    <n v="828064"/>
  </r>
  <r>
    <x v="665"/>
    <x v="2"/>
    <x v="2"/>
    <x v="1"/>
    <x v="13"/>
    <n v="33302"/>
    <n v="599436"/>
  </r>
  <r>
    <x v="666"/>
    <x v="3"/>
    <x v="1"/>
    <x v="2"/>
    <x v="8"/>
    <n v="65815"/>
    <n v="723965"/>
  </r>
  <r>
    <x v="667"/>
    <x v="1"/>
    <x v="4"/>
    <x v="4"/>
    <x v="14"/>
    <n v="68344"/>
    <n v="205032"/>
  </r>
  <r>
    <x v="668"/>
    <x v="2"/>
    <x v="3"/>
    <x v="1"/>
    <x v="12"/>
    <n v="40618"/>
    <n v="406180"/>
  </r>
  <r>
    <x v="669"/>
    <x v="0"/>
    <x v="1"/>
    <x v="1"/>
    <x v="12"/>
    <n v="66114"/>
    <n v="661140"/>
  </r>
  <r>
    <x v="670"/>
    <x v="2"/>
    <x v="3"/>
    <x v="4"/>
    <x v="5"/>
    <n v="30525"/>
    <n v="488400"/>
  </r>
  <r>
    <x v="671"/>
    <x v="3"/>
    <x v="4"/>
    <x v="1"/>
    <x v="16"/>
    <n v="19334"/>
    <n v="232008"/>
  </r>
  <r>
    <x v="672"/>
    <x v="3"/>
    <x v="2"/>
    <x v="1"/>
    <x v="17"/>
    <n v="67767"/>
    <n v="135534"/>
  </r>
  <r>
    <x v="673"/>
    <x v="3"/>
    <x v="0"/>
    <x v="1"/>
    <x v="10"/>
    <n v="11644"/>
    <n v="104796"/>
  </r>
  <r>
    <x v="674"/>
    <x v="1"/>
    <x v="2"/>
    <x v="5"/>
    <x v="14"/>
    <n v="37933"/>
    <n v="113799"/>
  </r>
  <r>
    <x v="675"/>
    <x v="2"/>
    <x v="1"/>
    <x v="0"/>
    <x v="6"/>
    <n v="48469"/>
    <n v="727035"/>
  </r>
  <r>
    <x v="676"/>
    <x v="1"/>
    <x v="0"/>
    <x v="4"/>
    <x v="14"/>
    <n v="38687"/>
    <n v="116061"/>
  </r>
  <r>
    <x v="677"/>
    <x v="1"/>
    <x v="1"/>
    <x v="1"/>
    <x v="15"/>
    <n v="57656"/>
    <n v="1095464"/>
  </r>
  <r>
    <x v="678"/>
    <x v="3"/>
    <x v="4"/>
    <x v="5"/>
    <x v="13"/>
    <n v="22375"/>
    <n v="402750"/>
  </r>
  <r>
    <x v="679"/>
    <x v="3"/>
    <x v="0"/>
    <x v="4"/>
    <x v="18"/>
    <n v="70206"/>
    <n v="561648"/>
  </r>
  <r>
    <x v="680"/>
    <x v="1"/>
    <x v="1"/>
    <x v="3"/>
    <x v="2"/>
    <n v="41607"/>
    <n v="707319"/>
  </r>
  <r>
    <x v="681"/>
    <x v="2"/>
    <x v="4"/>
    <x v="3"/>
    <x v="18"/>
    <n v="28993"/>
    <n v="231944"/>
  </r>
  <r>
    <x v="682"/>
    <x v="0"/>
    <x v="2"/>
    <x v="1"/>
    <x v="9"/>
    <n v="49386"/>
    <n v="345702"/>
  </r>
  <r>
    <x v="683"/>
    <x v="1"/>
    <x v="4"/>
    <x v="5"/>
    <x v="9"/>
    <n v="51287"/>
    <n v="359009"/>
  </r>
  <r>
    <x v="684"/>
    <x v="2"/>
    <x v="3"/>
    <x v="5"/>
    <x v="14"/>
    <n v="13210"/>
    <n v="39630"/>
  </r>
  <r>
    <x v="685"/>
    <x v="3"/>
    <x v="4"/>
    <x v="4"/>
    <x v="1"/>
    <n v="15922"/>
    <n v="15922"/>
  </r>
  <r>
    <x v="686"/>
    <x v="3"/>
    <x v="4"/>
    <x v="4"/>
    <x v="4"/>
    <n v="41289"/>
    <n v="165156"/>
  </r>
  <r>
    <x v="687"/>
    <x v="2"/>
    <x v="3"/>
    <x v="5"/>
    <x v="11"/>
    <n v="38340"/>
    <n v="191700"/>
  </r>
  <r>
    <x v="688"/>
    <x v="0"/>
    <x v="1"/>
    <x v="4"/>
    <x v="1"/>
    <n v="44850"/>
    <n v="44850"/>
  </r>
  <r>
    <x v="689"/>
    <x v="3"/>
    <x v="1"/>
    <x v="5"/>
    <x v="6"/>
    <n v="61984"/>
    <n v="929760"/>
  </r>
  <r>
    <x v="690"/>
    <x v="3"/>
    <x v="4"/>
    <x v="0"/>
    <x v="11"/>
    <n v="16094"/>
    <n v="80470"/>
  </r>
  <r>
    <x v="691"/>
    <x v="3"/>
    <x v="3"/>
    <x v="5"/>
    <x v="0"/>
    <n v="38418"/>
    <n v="499434"/>
  </r>
  <r>
    <x v="692"/>
    <x v="2"/>
    <x v="3"/>
    <x v="3"/>
    <x v="18"/>
    <n v="10741"/>
    <n v="85928"/>
  </r>
  <r>
    <x v="693"/>
    <x v="1"/>
    <x v="2"/>
    <x v="4"/>
    <x v="18"/>
    <n v="73798"/>
    <n v="590384"/>
  </r>
  <r>
    <x v="694"/>
    <x v="3"/>
    <x v="1"/>
    <x v="5"/>
    <x v="11"/>
    <n v="27164"/>
    <n v="135820"/>
  </r>
  <r>
    <x v="695"/>
    <x v="1"/>
    <x v="0"/>
    <x v="5"/>
    <x v="10"/>
    <n v="40595"/>
    <n v="365355"/>
  </r>
  <r>
    <x v="696"/>
    <x v="0"/>
    <x v="1"/>
    <x v="4"/>
    <x v="1"/>
    <n v="35257"/>
    <n v="35257"/>
  </r>
  <r>
    <x v="697"/>
    <x v="3"/>
    <x v="1"/>
    <x v="0"/>
    <x v="4"/>
    <n v="19211"/>
    <n v="76844"/>
  </r>
  <r>
    <x v="698"/>
    <x v="3"/>
    <x v="2"/>
    <x v="0"/>
    <x v="14"/>
    <n v="10232"/>
    <n v="30696"/>
  </r>
  <r>
    <x v="699"/>
    <x v="0"/>
    <x v="0"/>
    <x v="4"/>
    <x v="17"/>
    <n v="72753"/>
    <n v="145506"/>
  </r>
  <r>
    <x v="700"/>
    <x v="3"/>
    <x v="2"/>
    <x v="2"/>
    <x v="18"/>
    <n v="57691"/>
    <n v="461528"/>
  </r>
  <r>
    <x v="701"/>
    <x v="1"/>
    <x v="0"/>
    <x v="4"/>
    <x v="10"/>
    <n v="30613"/>
    <n v="275517"/>
  </r>
  <r>
    <x v="702"/>
    <x v="2"/>
    <x v="4"/>
    <x v="4"/>
    <x v="17"/>
    <n v="19026"/>
    <n v="38052"/>
  </r>
  <r>
    <x v="703"/>
    <x v="1"/>
    <x v="0"/>
    <x v="0"/>
    <x v="7"/>
    <n v="58535"/>
    <n v="819490"/>
  </r>
  <r>
    <x v="704"/>
    <x v="2"/>
    <x v="2"/>
    <x v="0"/>
    <x v="7"/>
    <n v="35908"/>
    <n v="502712"/>
  </r>
  <r>
    <x v="705"/>
    <x v="2"/>
    <x v="1"/>
    <x v="4"/>
    <x v="4"/>
    <n v="57113"/>
    <n v="228452"/>
  </r>
  <r>
    <x v="706"/>
    <x v="1"/>
    <x v="0"/>
    <x v="4"/>
    <x v="3"/>
    <n v="24610"/>
    <n v="147660"/>
  </r>
  <r>
    <x v="707"/>
    <x v="1"/>
    <x v="0"/>
    <x v="4"/>
    <x v="8"/>
    <n v="51646"/>
    <n v="568106"/>
  </r>
  <r>
    <x v="708"/>
    <x v="1"/>
    <x v="3"/>
    <x v="0"/>
    <x v="14"/>
    <n v="68185"/>
    <n v="204555"/>
  </r>
  <r>
    <x v="709"/>
    <x v="1"/>
    <x v="1"/>
    <x v="4"/>
    <x v="18"/>
    <n v="52574"/>
    <n v="420592"/>
  </r>
  <r>
    <x v="710"/>
    <x v="0"/>
    <x v="4"/>
    <x v="4"/>
    <x v="14"/>
    <n v="41182"/>
    <n v="123546"/>
  </r>
  <r>
    <x v="711"/>
    <x v="3"/>
    <x v="2"/>
    <x v="1"/>
    <x v="7"/>
    <n v="5570"/>
    <n v="77980"/>
  </r>
  <r>
    <x v="712"/>
    <x v="2"/>
    <x v="4"/>
    <x v="2"/>
    <x v="0"/>
    <n v="24288"/>
    <n v="315744"/>
  </r>
  <r>
    <x v="713"/>
    <x v="1"/>
    <x v="1"/>
    <x v="3"/>
    <x v="0"/>
    <n v="34877"/>
    <n v="453401"/>
  </r>
  <r>
    <x v="714"/>
    <x v="1"/>
    <x v="0"/>
    <x v="2"/>
    <x v="17"/>
    <n v="5917"/>
    <n v="11834"/>
  </r>
  <r>
    <x v="715"/>
    <x v="1"/>
    <x v="0"/>
    <x v="1"/>
    <x v="0"/>
    <n v="69575"/>
    <n v="904475"/>
  </r>
  <r>
    <x v="716"/>
    <x v="0"/>
    <x v="1"/>
    <x v="3"/>
    <x v="15"/>
    <n v="44104"/>
    <n v="837976"/>
  </r>
  <r>
    <x v="717"/>
    <x v="1"/>
    <x v="0"/>
    <x v="4"/>
    <x v="3"/>
    <n v="23062"/>
    <n v="138372"/>
  </r>
  <r>
    <x v="718"/>
    <x v="1"/>
    <x v="0"/>
    <x v="1"/>
    <x v="5"/>
    <n v="21999"/>
    <n v="351984"/>
  </r>
  <r>
    <x v="719"/>
    <x v="1"/>
    <x v="0"/>
    <x v="4"/>
    <x v="17"/>
    <n v="66845"/>
    <n v="133690"/>
  </r>
  <r>
    <x v="720"/>
    <x v="3"/>
    <x v="2"/>
    <x v="0"/>
    <x v="18"/>
    <n v="14941"/>
    <n v="119528"/>
  </r>
  <r>
    <x v="721"/>
    <x v="0"/>
    <x v="2"/>
    <x v="5"/>
    <x v="2"/>
    <n v="66169"/>
    <n v="1124873"/>
  </r>
  <r>
    <x v="722"/>
    <x v="1"/>
    <x v="3"/>
    <x v="1"/>
    <x v="17"/>
    <n v="28470"/>
    <n v="56940"/>
  </r>
  <r>
    <x v="723"/>
    <x v="2"/>
    <x v="4"/>
    <x v="0"/>
    <x v="12"/>
    <n v="64821"/>
    <n v="648210"/>
  </r>
  <r>
    <x v="724"/>
    <x v="2"/>
    <x v="1"/>
    <x v="1"/>
    <x v="5"/>
    <n v="49435"/>
    <n v="790960"/>
  </r>
  <r>
    <x v="725"/>
    <x v="2"/>
    <x v="1"/>
    <x v="1"/>
    <x v="3"/>
    <n v="9529"/>
    <n v="57174"/>
  </r>
  <r>
    <x v="726"/>
    <x v="0"/>
    <x v="1"/>
    <x v="0"/>
    <x v="17"/>
    <n v="17192"/>
    <n v="34384"/>
  </r>
  <r>
    <x v="727"/>
    <x v="0"/>
    <x v="3"/>
    <x v="3"/>
    <x v="17"/>
    <n v="39087"/>
    <n v="78174"/>
  </r>
  <r>
    <x v="728"/>
    <x v="2"/>
    <x v="2"/>
    <x v="2"/>
    <x v="0"/>
    <n v="71677"/>
    <n v="931801"/>
  </r>
  <r>
    <x v="729"/>
    <x v="1"/>
    <x v="3"/>
    <x v="4"/>
    <x v="6"/>
    <n v="9627"/>
    <n v="144405"/>
  </r>
  <r>
    <x v="730"/>
    <x v="0"/>
    <x v="1"/>
    <x v="1"/>
    <x v="17"/>
    <n v="61541"/>
    <n v="123082"/>
  </r>
  <r>
    <x v="731"/>
    <x v="2"/>
    <x v="4"/>
    <x v="4"/>
    <x v="9"/>
    <n v="73226"/>
    <n v="512582"/>
  </r>
  <r>
    <x v="732"/>
    <x v="2"/>
    <x v="0"/>
    <x v="5"/>
    <x v="14"/>
    <n v="8255"/>
    <n v="24765"/>
  </r>
  <r>
    <x v="733"/>
    <x v="1"/>
    <x v="2"/>
    <x v="0"/>
    <x v="18"/>
    <n v="62433"/>
    <n v="499464"/>
  </r>
  <r>
    <x v="734"/>
    <x v="3"/>
    <x v="2"/>
    <x v="4"/>
    <x v="7"/>
    <n v="10213"/>
    <n v="142982"/>
  </r>
  <r>
    <x v="735"/>
    <x v="0"/>
    <x v="3"/>
    <x v="0"/>
    <x v="9"/>
    <n v="24404"/>
    <n v="170828"/>
  </r>
  <r>
    <x v="736"/>
    <x v="1"/>
    <x v="2"/>
    <x v="4"/>
    <x v="9"/>
    <n v="30380"/>
    <n v="212660"/>
  </r>
  <r>
    <x v="737"/>
    <x v="2"/>
    <x v="1"/>
    <x v="2"/>
    <x v="1"/>
    <n v="24173"/>
    <n v="24173"/>
  </r>
  <r>
    <x v="738"/>
    <x v="2"/>
    <x v="1"/>
    <x v="2"/>
    <x v="2"/>
    <n v="58027"/>
    <n v="986459"/>
  </r>
  <r>
    <x v="739"/>
    <x v="1"/>
    <x v="3"/>
    <x v="2"/>
    <x v="10"/>
    <n v="28989"/>
    <n v="260901"/>
  </r>
  <r>
    <x v="740"/>
    <x v="0"/>
    <x v="1"/>
    <x v="2"/>
    <x v="0"/>
    <n v="29519"/>
    <n v="383747"/>
  </r>
  <r>
    <x v="741"/>
    <x v="3"/>
    <x v="4"/>
    <x v="2"/>
    <x v="15"/>
    <n v="27439"/>
    <n v="521341"/>
  </r>
  <r>
    <x v="742"/>
    <x v="3"/>
    <x v="3"/>
    <x v="2"/>
    <x v="15"/>
    <n v="19995"/>
    <n v="379905"/>
  </r>
  <r>
    <x v="743"/>
    <x v="2"/>
    <x v="4"/>
    <x v="0"/>
    <x v="2"/>
    <n v="28559"/>
    <n v="485503"/>
  </r>
  <r>
    <x v="744"/>
    <x v="0"/>
    <x v="0"/>
    <x v="1"/>
    <x v="12"/>
    <n v="10021"/>
    <n v="100210"/>
  </r>
  <r>
    <x v="745"/>
    <x v="3"/>
    <x v="4"/>
    <x v="4"/>
    <x v="12"/>
    <n v="26119"/>
    <n v="261190"/>
  </r>
  <r>
    <x v="746"/>
    <x v="0"/>
    <x v="0"/>
    <x v="2"/>
    <x v="4"/>
    <n v="56539"/>
    <n v="226156"/>
  </r>
  <r>
    <x v="747"/>
    <x v="0"/>
    <x v="0"/>
    <x v="0"/>
    <x v="18"/>
    <n v="44350"/>
    <n v="354800"/>
  </r>
  <r>
    <x v="748"/>
    <x v="2"/>
    <x v="4"/>
    <x v="0"/>
    <x v="13"/>
    <n v="51223"/>
    <n v="922014"/>
  </r>
  <r>
    <x v="749"/>
    <x v="3"/>
    <x v="3"/>
    <x v="0"/>
    <x v="7"/>
    <n v="30517"/>
    <n v="427238"/>
  </r>
  <r>
    <x v="750"/>
    <x v="1"/>
    <x v="1"/>
    <x v="1"/>
    <x v="13"/>
    <n v="27250"/>
    <n v="490500"/>
  </r>
  <r>
    <x v="751"/>
    <x v="2"/>
    <x v="1"/>
    <x v="4"/>
    <x v="7"/>
    <n v="71798"/>
    <n v="1005172"/>
  </r>
  <r>
    <x v="752"/>
    <x v="3"/>
    <x v="0"/>
    <x v="1"/>
    <x v="6"/>
    <n v="59199"/>
    <n v="887985"/>
  </r>
  <r>
    <x v="753"/>
    <x v="3"/>
    <x v="0"/>
    <x v="3"/>
    <x v="4"/>
    <n v="64546"/>
    <n v="258184"/>
  </r>
  <r>
    <x v="754"/>
    <x v="3"/>
    <x v="3"/>
    <x v="0"/>
    <x v="0"/>
    <n v="8327"/>
    <n v="108251"/>
  </r>
  <r>
    <x v="755"/>
    <x v="3"/>
    <x v="2"/>
    <x v="3"/>
    <x v="18"/>
    <n v="34768"/>
    <n v="278144"/>
  </r>
  <r>
    <x v="756"/>
    <x v="3"/>
    <x v="4"/>
    <x v="5"/>
    <x v="13"/>
    <n v="69418"/>
    <n v="1249524"/>
  </r>
  <r>
    <x v="757"/>
    <x v="0"/>
    <x v="0"/>
    <x v="2"/>
    <x v="16"/>
    <n v="47788"/>
    <n v="573456"/>
  </r>
  <r>
    <x v="758"/>
    <x v="2"/>
    <x v="1"/>
    <x v="2"/>
    <x v="7"/>
    <n v="51830"/>
    <n v="725620"/>
  </r>
  <r>
    <x v="759"/>
    <x v="0"/>
    <x v="3"/>
    <x v="1"/>
    <x v="17"/>
    <n v="57446"/>
    <n v="114892"/>
  </r>
  <r>
    <x v="760"/>
    <x v="1"/>
    <x v="4"/>
    <x v="4"/>
    <x v="13"/>
    <n v="20160"/>
    <n v="362880"/>
  </r>
  <r>
    <x v="761"/>
    <x v="3"/>
    <x v="3"/>
    <x v="3"/>
    <x v="17"/>
    <n v="61583"/>
    <n v="123166"/>
  </r>
  <r>
    <x v="762"/>
    <x v="2"/>
    <x v="4"/>
    <x v="4"/>
    <x v="8"/>
    <n v="38998"/>
    <n v="428978"/>
  </r>
  <r>
    <x v="763"/>
    <x v="3"/>
    <x v="4"/>
    <x v="1"/>
    <x v="10"/>
    <n v="32230"/>
    <n v="290070"/>
  </r>
  <r>
    <x v="764"/>
    <x v="2"/>
    <x v="0"/>
    <x v="2"/>
    <x v="16"/>
    <n v="14076"/>
    <n v="168912"/>
  </r>
  <r>
    <x v="765"/>
    <x v="0"/>
    <x v="3"/>
    <x v="4"/>
    <x v="2"/>
    <n v="74341"/>
    <n v="1263797"/>
  </r>
  <r>
    <x v="766"/>
    <x v="2"/>
    <x v="3"/>
    <x v="4"/>
    <x v="6"/>
    <n v="36085"/>
    <n v="541275"/>
  </r>
  <r>
    <x v="767"/>
    <x v="1"/>
    <x v="1"/>
    <x v="2"/>
    <x v="2"/>
    <n v="60571"/>
    <n v="1029707"/>
  </r>
  <r>
    <x v="768"/>
    <x v="1"/>
    <x v="1"/>
    <x v="3"/>
    <x v="13"/>
    <n v="19715"/>
    <n v="354870"/>
  </r>
  <r>
    <x v="769"/>
    <x v="2"/>
    <x v="0"/>
    <x v="2"/>
    <x v="3"/>
    <n v="10750"/>
    <n v="64500"/>
  </r>
  <r>
    <x v="770"/>
    <x v="2"/>
    <x v="0"/>
    <x v="4"/>
    <x v="2"/>
    <n v="40903"/>
    <n v="695351"/>
  </r>
  <r>
    <x v="771"/>
    <x v="2"/>
    <x v="2"/>
    <x v="3"/>
    <x v="13"/>
    <n v="37093"/>
    <n v="667674"/>
  </r>
  <r>
    <x v="772"/>
    <x v="2"/>
    <x v="1"/>
    <x v="3"/>
    <x v="18"/>
    <n v="39314"/>
    <n v="314512"/>
  </r>
  <r>
    <x v="773"/>
    <x v="1"/>
    <x v="4"/>
    <x v="2"/>
    <x v="10"/>
    <n v="53225"/>
    <n v="479025"/>
  </r>
  <r>
    <x v="774"/>
    <x v="3"/>
    <x v="3"/>
    <x v="4"/>
    <x v="3"/>
    <n v="40179"/>
    <n v="241074"/>
  </r>
  <r>
    <x v="775"/>
    <x v="2"/>
    <x v="0"/>
    <x v="1"/>
    <x v="11"/>
    <n v="30338"/>
    <n v="151690"/>
  </r>
  <r>
    <x v="776"/>
    <x v="2"/>
    <x v="3"/>
    <x v="4"/>
    <x v="16"/>
    <n v="74681"/>
    <n v="896172"/>
  </r>
  <r>
    <x v="777"/>
    <x v="1"/>
    <x v="3"/>
    <x v="0"/>
    <x v="8"/>
    <n v="37101"/>
    <n v="408111"/>
  </r>
  <r>
    <x v="778"/>
    <x v="1"/>
    <x v="2"/>
    <x v="5"/>
    <x v="1"/>
    <n v="7775"/>
    <n v="7775"/>
  </r>
  <r>
    <x v="779"/>
    <x v="0"/>
    <x v="1"/>
    <x v="1"/>
    <x v="8"/>
    <n v="50619"/>
    <n v="556809"/>
  </r>
  <r>
    <x v="780"/>
    <x v="2"/>
    <x v="0"/>
    <x v="3"/>
    <x v="15"/>
    <n v="50838"/>
    <n v="965922"/>
  </r>
  <r>
    <x v="781"/>
    <x v="0"/>
    <x v="3"/>
    <x v="1"/>
    <x v="10"/>
    <n v="24539"/>
    <n v="220851"/>
  </r>
  <r>
    <x v="782"/>
    <x v="1"/>
    <x v="0"/>
    <x v="3"/>
    <x v="17"/>
    <n v="62124"/>
    <n v="124248"/>
  </r>
  <r>
    <x v="783"/>
    <x v="1"/>
    <x v="4"/>
    <x v="3"/>
    <x v="16"/>
    <n v="70149"/>
    <n v="841788"/>
  </r>
  <r>
    <x v="784"/>
    <x v="3"/>
    <x v="2"/>
    <x v="1"/>
    <x v="4"/>
    <n v="31616"/>
    <n v="126464"/>
  </r>
  <r>
    <x v="785"/>
    <x v="2"/>
    <x v="4"/>
    <x v="3"/>
    <x v="4"/>
    <n v="59567"/>
    <n v="238268"/>
  </r>
  <r>
    <x v="786"/>
    <x v="0"/>
    <x v="0"/>
    <x v="3"/>
    <x v="13"/>
    <n v="42099"/>
    <n v="757782"/>
  </r>
  <r>
    <x v="787"/>
    <x v="1"/>
    <x v="0"/>
    <x v="0"/>
    <x v="6"/>
    <n v="66799"/>
    <n v="1001985"/>
  </r>
  <r>
    <x v="788"/>
    <x v="1"/>
    <x v="1"/>
    <x v="4"/>
    <x v="15"/>
    <n v="30479"/>
    <n v="579101"/>
  </r>
  <r>
    <x v="789"/>
    <x v="0"/>
    <x v="3"/>
    <x v="4"/>
    <x v="0"/>
    <n v="51172"/>
    <n v="665236"/>
  </r>
  <r>
    <x v="790"/>
    <x v="3"/>
    <x v="3"/>
    <x v="5"/>
    <x v="15"/>
    <n v="60863"/>
    <n v="1156397"/>
  </r>
  <r>
    <x v="791"/>
    <x v="1"/>
    <x v="4"/>
    <x v="5"/>
    <x v="2"/>
    <n v="47043"/>
    <n v="799731"/>
  </r>
  <r>
    <x v="792"/>
    <x v="2"/>
    <x v="2"/>
    <x v="0"/>
    <x v="3"/>
    <n v="20408"/>
    <n v="122448"/>
  </r>
  <r>
    <x v="793"/>
    <x v="1"/>
    <x v="3"/>
    <x v="5"/>
    <x v="5"/>
    <n v="62980"/>
    <n v="1007680"/>
  </r>
  <r>
    <x v="794"/>
    <x v="2"/>
    <x v="1"/>
    <x v="1"/>
    <x v="16"/>
    <n v="21351"/>
    <n v="256212"/>
  </r>
  <r>
    <x v="795"/>
    <x v="0"/>
    <x v="4"/>
    <x v="2"/>
    <x v="15"/>
    <n v="9131"/>
    <n v="173489"/>
  </r>
  <r>
    <x v="796"/>
    <x v="2"/>
    <x v="4"/>
    <x v="2"/>
    <x v="11"/>
    <n v="49825"/>
    <n v="249125"/>
  </r>
  <r>
    <x v="797"/>
    <x v="0"/>
    <x v="1"/>
    <x v="2"/>
    <x v="2"/>
    <n v="16349"/>
    <n v="277933"/>
  </r>
  <r>
    <x v="798"/>
    <x v="2"/>
    <x v="2"/>
    <x v="0"/>
    <x v="1"/>
    <n v="65931"/>
    <n v="65931"/>
  </r>
  <r>
    <x v="799"/>
    <x v="0"/>
    <x v="1"/>
    <x v="0"/>
    <x v="12"/>
    <n v="49254"/>
    <n v="492540"/>
  </r>
  <r>
    <x v="800"/>
    <x v="2"/>
    <x v="2"/>
    <x v="3"/>
    <x v="6"/>
    <n v="43225"/>
    <n v="648375"/>
  </r>
  <r>
    <x v="801"/>
    <x v="3"/>
    <x v="1"/>
    <x v="2"/>
    <x v="8"/>
    <n v="17453"/>
    <n v="191983"/>
  </r>
  <r>
    <x v="802"/>
    <x v="2"/>
    <x v="1"/>
    <x v="1"/>
    <x v="0"/>
    <n v="23814"/>
    <n v="309582"/>
  </r>
  <r>
    <x v="803"/>
    <x v="2"/>
    <x v="0"/>
    <x v="5"/>
    <x v="11"/>
    <n v="23263"/>
    <n v="116315"/>
  </r>
  <r>
    <x v="804"/>
    <x v="3"/>
    <x v="4"/>
    <x v="1"/>
    <x v="1"/>
    <n v="20735"/>
    <n v="20735"/>
  </r>
  <r>
    <x v="805"/>
    <x v="1"/>
    <x v="1"/>
    <x v="5"/>
    <x v="16"/>
    <n v="20830"/>
    <n v="249960"/>
  </r>
  <r>
    <x v="806"/>
    <x v="1"/>
    <x v="1"/>
    <x v="2"/>
    <x v="8"/>
    <n v="52893"/>
    <n v="581823"/>
  </r>
  <r>
    <x v="807"/>
    <x v="2"/>
    <x v="3"/>
    <x v="2"/>
    <x v="2"/>
    <n v="49673"/>
    <n v="844441"/>
  </r>
  <r>
    <x v="808"/>
    <x v="3"/>
    <x v="4"/>
    <x v="2"/>
    <x v="4"/>
    <n v="50066"/>
    <n v="200264"/>
  </r>
  <r>
    <x v="809"/>
    <x v="2"/>
    <x v="3"/>
    <x v="0"/>
    <x v="6"/>
    <n v="8373"/>
    <n v="125595"/>
  </r>
  <r>
    <x v="810"/>
    <x v="0"/>
    <x v="4"/>
    <x v="5"/>
    <x v="10"/>
    <n v="15335"/>
    <n v="138015"/>
  </r>
  <r>
    <x v="811"/>
    <x v="0"/>
    <x v="3"/>
    <x v="0"/>
    <x v="15"/>
    <n v="28741"/>
    <n v="546079"/>
  </r>
  <r>
    <x v="812"/>
    <x v="2"/>
    <x v="1"/>
    <x v="0"/>
    <x v="15"/>
    <n v="15692"/>
    <n v="298148"/>
  </r>
  <r>
    <x v="813"/>
    <x v="1"/>
    <x v="1"/>
    <x v="4"/>
    <x v="16"/>
    <n v="52295"/>
    <n v="627540"/>
  </r>
  <r>
    <x v="814"/>
    <x v="1"/>
    <x v="0"/>
    <x v="1"/>
    <x v="11"/>
    <n v="50541"/>
    <n v="252705"/>
  </r>
  <r>
    <x v="815"/>
    <x v="2"/>
    <x v="3"/>
    <x v="1"/>
    <x v="12"/>
    <n v="39057"/>
    <n v="390570"/>
  </r>
  <r>
    <x v="816"/>
    <x v="2"/>
    <x v="2"/>
    <x v="3"/>
    <x v="2"/>
    <n v="71983"/>
    <n v="1223711"/>
  </r>
  <r>
    <x v="817"/>
    <x v="0"/>
    <x v="0"/>
    <x v="0"/>
    <x v="11"/>
    <n v="24583"/>
    <n v="122915"/>
  </r>
  <r>
    <x v="818"/>
    <x v="1"/>
    <x v="3"/>
    <x v="5"/>
    <x v="5"/>
    <n v="27765"/>
    <n v="444240"/>
  </r>
  <r>
    <x v="819"/>
    <x v="2"/>
    <x v="3"/>
    <x v="4"/>
    <x v="9"/>
    <n v="64287"/>
    <n v="450009"/>
  </r>
  <r>
    <x v="820"/>
    <x v="0"/>
    <x v="0"/>
    <x v="4"/>
    <x v="10"/>
    <n v="28906"/>
    <n v="260154"/>
  </r>
  <r>
    <x v="821"/>
    <x v="1"/>
    <x v="1"/>
    <x v="1"/>
    <x v="14"/>
    <n v="51525"/>
    <n v="154575"/>
  </r>
  <r>
    <x v="822"/>
    <x v="3"/>
    <x v="3"/>
    <x v="0"/>
    <x v="6"/>
    <n v="43230"/>
    <n v="648450"/>
  </r>
  <r>
    <x v="823"/>
    <x v="0"/>
    <x v="1"/>
    <x v="3"/>
    <x v="5"/>
    <n v="24520"/>
    <n v="392320"/>
  </r>
  <r>
    <x v="824"/>
    <x v="1"/>
    <x v="0"/>
    <x v="0"/>
    <x v="13"/>
    <n v="56934"/>
    <n v="1024812"/>
  </r>
  <r>
    <x v="825"/>
    <x v="1"/>
    <x v="1"/>
    <x v="2"/>
    <x v="7"/>
    <n v="30566"/>
    <n v="427924"/>
  </r>
  <r>
    <x v="826"/>
    <x v="0"/>
    <x v="4"/>
    <x v="0"/>
    <x v="14"/>
    <n v="35134"/>
    <n v="105402"/>
  </r>
  <r>
    <x v="827"/>
    <x v="3"/>
    <x v="2"/>
    <x v="2"/>
    <x v="16"/>
    <n v="15345"/>
    <n v="184140"/>
  </r>
  <r>
    <x v="828"/>
    <x v="0"/>
    <x v="3"/>
    <x v="2"/>
    <x v="10"/>
    <n v="46185"/>
    <n v="415665"/>
  </r>
  <r>
    <x v="829"/>
    <x v="1"/>
    <x v="2"/>
    <x v="3"/>
    <x v="9"/>
    <n v="38455"/>
    <n v="269185"/>
  </r>
  <r>
    <x v="830"/>
    <x v="2"/>
    <x v="1"/>
    <x v="5"/>
    <x v="10"/>
    <n v="33018"/>
    <n v="297162"/>
  </r>
  <r>
    <x v="831"/>
    <x v="2"/>
    <x v="3"/>
    <x v="1"/>
    <x v="0"/>
    <n v="59219"/>
    <n v="769847"/>
  </r>
  <r>
    <x v="832"/>
    <x v="0"/>
    <x v="1"/>
    <x v="0"/>
    <x v="13"/>
    <n v="50991"/>
    <n v="917838"/>
  </r>
  <r>
    <x v="833"/>
    <x v="1"/>
    <x v="4"/>
    <x v="2"/>
    <x v="11"/>
    <n v="14486"/>
    <n v="72430"/>
  </r>
  <r>
    <x v="834"/>
    <x v="2"/>
    <x v="0"/>
    <x v="0"/>
    <x v="0"/>
    <n v="43862"/>
    <n v="570206"/>
  </r>
  <r>
    <x v="835"/>
    <x v="1"/>
    <x v="3"/>
    <x v="5"/>
    <x v="4"/>
    <n v="63870"/>
    <n v="255480"/>
  </r>
  <r>
    <x v="836"/>
    <x v="0"/>
    <x v="4"/>
    <x v="1"/>
    <x v="17"/>
    <n v="48856"/>
    <n v="97712"/>
  </r>
  <r>
    <x v="837"/>
    <x v="2"/>
    <x v="4"/>
    <x v="5"/>
    <x v="5"/>
    <n v="36379"/>
    <n v="582064"/>
  </r>
  <r>
    <x v="838"/>
    <x v="1"/>
    <x v="3"/>
    <x v="1"/>
    <x v="10"/>
    <n v="69729"/>
    <n v="627561"/>
  </r>
  <r>
    <x v="839"/>
    <x v="2"/>
    <x v="1"/>
    <x v="4"/>
    <x v="10"/>
    <n v="33378"/>
    <n v="300402"/>
  </r>
  <r>
    <x v="840"/>
    <x v="0"/>
    <x v="4"/>
    <x v="1"/>
    <x v="3"/>
    <n v="59353"/>
    <n v="356118"/>
  </r>
  <r>
    <x v="841"/>
    <x v="1"/>
    <x v="2"/>
    <x v="3"/>
    <x v="8"/>
    <n v="54996"/>
    <n v="604956"/>
  </r>
  <r>
    <x v="842"/>
    <x v="2"/>
    <x v="4"/>
    <x v="5"/>
    <x v="1"/>
    <n v="19031"/>
    <n v="19031"/>
  </r>
  <r>
    <x v="843"/>
    <x v="0"/>
    <x v="1"/>
    <x v="2"/>
    <x v="4"/>
    <n v="70982"/>
    <n v="283928"/>
  </r>
  <r>
    <x v="844"/>
    <x v="2"/>
    <x v="1"/>
    <x v="4"/>
    <x v="0"/>
    <n v="41683"/>
    <n v="541879"/>
  </r>
  <r>
    <x v="845"/>
    <x v="2"/>
    <x v="2"/>
    <x v="3"/>
    <x v="0"/>
    <n v="22618"/>
    <n v="294034"/>
  </r>
  <r>
    <x v="846"/>
    <x v="3"/>
    <x v="4"/>
    <x v="0"/>
    <x v="0"/>
    <n v="11587"/>
    <n v="150631"/>
  </r>
  <r>
    <x v="847"/>
    <x v="3"/>
    <x v="1"/>
    <x v="5"/>
    <x v="17"/>
    <n v="67790"/>
    <n v="135580"/>
  </r>
  <r>
    <x v="848"/>
    <x v="0"/>
    <x v="3"/>
    <x v="2"/>
    <x v="10"/>
    <n v="36480"/>
    <n v="328320"/>
  </r>
  <r>
    <x v="849"/>
    <x v="3"/>
    <x v="0"/>
    <x v="1"/>
    <x v="18"/>
    <n v="25527"/>
    <n v="204216"/>
  </r>
  <r>
    <x v="850"/>
    <x v="0"/>
    <x v="0"/>
    <x v="2"/>
    <x v="9"/>
    <n v="28569"/>
    <n v="199983"/>
  </r>
  <r>
    <x v="851"/>
    <x v="3"/>
    <x v="0"/>
    <x v="0"/>
    <x v="4"/>
    <n v="16151"/>
    <n v="64604"/>
  </r>
  <r>
    <x v="852"/>
    <x v="2"/>
    <x v="4"/>
    <x v="4"/>
    <x v="13"/>
    <n v="64174"/>
    <n v="1155132"/>
  </r>
  <r>
    <x v="853"/>
    <x v="0"/>
    <x v="2"/>
    <x v="4"/>
    <x v="14"/>
    <n v="49739"/>
    <n v="149217"/>
  </r>
  <r>
    <x v="854"/>
    <x v="0"/>
    <x v="1"/>
    <x v="5"/>
    <x v="3"/>
    <n v="37954"/>
    <n v="227724"/>
  </r>
  <r>
    <x v="855"/>
    <x v="2"/>
    <x v="3"/>
    <x v="4"/>
    <x v="16"/>
    <n v="40303"/>
    <n v="483636"/>
  </r>
  <r>
    <x v="856"/>
    <x v="0"/>
    <x v="3"/>
    <x v="5"/>
    <x v="16"/>
    <n v="39700"/>
    <n v="476400"/>
  </r>
  <r>
    <x v="857"/>
    <x v="0"/>
    <x v="4"/>
    <x v="5"/>
    <x v="18"/>
    <n v="72568"/>
    <n v="580544"/>
  </r>
  <r>
    <x v="858"/>
    <x v="3"/>
    <x v="0"/>
    <x v="5"/>
    <x v="1"/>
    <n v="71788"/>
    <n v="71788"/>
  </r>
  <r>
    <x v="859"/>
    <x v="0"/>
    <x v="4"/>
    <x v="1"/>
    <x v="4"/>
    <n v="42842"/>
    <n v="171368"/>
  </r>
  <r>
    <x v="860"/>
    <x v="1"/>
    <x v="2"/>
    <x v="3"/>
    <x v="8"/>
    <n v="18900"/>
    <n v="207900"/>
  </r>
  <r>
    <x v="861"/>
    <x v="2"/>
    <x v="2"/>
    <x v="5"/>
    <x v="14"/>
    <n v="6881"/>
    <n v="20643"/>
  </r>
  <r>
    <x v="862"/>
    <x v="3"/>
    <x v="1"/>
    <x v="5"/>
    <x v="0"/>
    <n v="38037"/>
    <n v="494481"/>
  </r>
  <r>
    <x v="863"/>
    <x v="3"/>
    <x v="1"/>
    <x v="3"/>
    <x v="2"/>
    <n v="6630"/>
    <n v="112710"/>
  </r>
  <r>
    <x v="864"/>
    <x v="1"/>
    <x v="2"/>
    <x v="2"/>
    <x v="12"/>
    <n v="25789"/>
    <n v="257890"/>
  </r>
  <r>
    <x v="865"/>
    <x v="2"/>
    <x v="2"/>
    <x v="5"/>
    <x v="16"/>
    <n v="51151"/>
    <n v="613812"/>
  </r>
  <r>
    <x v="866"/>
    <x v="2"/>
    <x v="2"/>
    <x v="1"/>
    <x v="6"/>
    <n v="53920"/>
    <n v="808800"/>
  </r>
  <r>
    <x v="867"/>
    <x v="3"/>
    <x v="4"/>
    <x v="4"/>
    <x v="12"/>
    <n v="72231"/>
    <n v="722310"/>
  </r>
  <r>
    <x v="868"/>
    <x v="0"/>
    <x v="2"/>
    <x v="4"/>
    <x v="7"/>
    <n v="8262"/>
    <n v="115668"/>
  </r>
  <r>
    <x v="869"/>
    <x v="3"/>
    <x v="3"/>
    <x v="0"/>
    <x v="0"/>
    <n v="71981"/>
    <n v="935753"/>
  </r>
  <r>
    <x v="870"/>
    <x v="2"/>
    <x v="0"/>
    <x v="0"/>
    <x v="11"/>
    <n v="59722"/>
    <n v="298610"/>
  </r>
  <r>
    <x v="871"/>
    <x v="1"/>
    <x v="2"/>
    <x v="4"/>
    <x v="3"/>
    <n v="55818"/>
    <n v="334908"/>
  </r>
  <r>
    <x v="872"/>
    <x v="3"/>
    <x v="0"/>
    <x v="4"/>
    <x v="17"/>
    <n v="34932"/>
    <n v="69864"/>
  </r>
  <r>
    <x v="873"/>
    <x v="2"/>
    <x v="4"/>
    <x v="1"/>
    <x v="2"/>
    <n v="11901"/>
    <n v="202317"/>
  </r>
  <r>
    <x v="874"/>
    <x v="3"/>
    <x v="0"/>
    <x v="3"/>
    <x v="4"/>
    <n v="13597"/>
    <n v="54388"/>
  </r>
  <r>
    <x v="875"/>
    <x v="0"/>
    <x v="4"/>
    <x v="0"/>
    <x v="7"/>
    <n v="68909"/>
    <n v="964726"/>
  </r>
  <r>
    <x v="876"/>
    <x v="3"/>
    <x v="3"/>
    <x v="3"/>
    <x v="12"/>
    <n v="13263"/>
    <n v="132630"/>
  </r>
  <r>
    <x v="877"/>
    <x v="3"/>
    <x v="4"/>
    <x v="1"/>
    <x v="14"/>
    <n v="68293"/>
    <n v="204879"/>
  </r>
  <r>
    <x v="878"/>
    <x v="2"/>
    <x v="4"/>
    <x v="4"/>
    <x v="14"/>
    <n v="30805"/>
    <n v="92415"/>
  </r>
  <r>
    <x v="879"/>
    <x v="2"/>
    <x v="1"/>
    <x v="5"/>
    <x v="6"/>
    <n v="16874"/>
    <n v="253110"/>
  </r>
  <r>
    <x v="880"/>
    <x v="2"/>
    <x v="2"/>
    <x v="3"/>
    <x v="3"/>
    <n v="19079"/>
    <n v="114474"/>
  </r>
  <r>
    <x v="881"/>
    <x v="3"/>
    <x v="2"/>
    <x v="4"/>
    <x v="2"/>
    <n v="54850"/>
    <n v="932450"/>
  </r>
  <r>
    <x v="882"/>
    <x v="0"/>
    <x v="3"/>
    <x v="4"/>
    <x v="16"/>
    <n v="14018"/>
    <n v="168216"/>
  </r>
  <r>
    <x v="883"/>
    <x v="1"/>
    <x v="3"/>
    <x v="2"/>
    <x v="8"/>
    <n v="54500"/>
    <n v="599500"/>
  </r>
  <r>
    <x v="884"/>
    <x v="1"/>
    <x v="2"/>
    <x v="3"/>
    <x v="4"/>
    <n v="17100"/>
    <n v="68400"/>
  </r>
  <r>
    <x v="885"/>
    <x v="2"/>
    <x v="1"/>
    <x v="5"/>
    <x v="3"/>
    <n v="62021"/>
    <n v="372126"/>
  </r>
  <r>
    <x v="886"/>
    <x v="2"/>
    <x v="2"/>
    <x v="3"/>
    <x v="1"/>
    <n v="24800"/>
    <n v="24800"/>
  </r>
  <r>
    <x v="887"/>
    <x v="3"/>
    <x v="1"/>
    <x v="4"/>
    <x v="5"/>
    <n v="68400"/>
    <n v="1094400"/>
  </r>
  <r>
    <x v="888"/>
    <x v="1"/>
    <x v="3"/>
    <x v="5"/>
    <x v="6"/>
    <n v="34437"/>
    <n v="516555"/>
  </r>
  <r>
    <x v="889"/>
    <x v="2"/>
    <x v="0"/>
    <x v="1"/>
    <x v="2"/>
    <n v="51675"/>
    <n v="878475"/>
  </r>
  <r>
    <x v="890"/>
    <x v="0"/>
    <x v="3"/>
    <x v="2"/>
    <x v="18"/>
    <n v="24942"/>
    <n v="199536"/>
  </r>
  <r>
    <x v="891"/>
    <x v="0"/>
    <x v="3"/>
    <x v="4"/>
    <x v="16"/>
    <n v="25862"/>
    <n v="310344"/>
  </r>
  <r>
    <x v="892"/>
    <x v="2"/>
    <x v="4"/>
    <x v="0"/>
    <x v="12"/>
    <n v="16669"/>
    <n v="166690"/>
  </r>
  <r>
    <x v="893"/>
    <x v="2"/>
    <x v="4"/>
    <x v="0"/>
    <x v="6"/>
    <n v="58772"/>
    <n v="881580"/>
  </r>
  <r>
    <x v="894"/>
    <x v="1"/>
    <x v="4"/>
    <x v="2"/>
    <x v="10"/>
    <n v="20916"/>
    <n v="188244"/>
  </r>
  <r>
    <x v="895"/>
    <x v="1"/>
    <x v="4"/>
    <x v="1"/>
    <x v="17"/>
    <n v="15878"/>
    <n v="31756"/>
  </r>
  <r>
    <x v="896"/>
    <x v="3"/>
    <x v="1"/>
    <x v="4"/>
    <x v="11"/>
    <n v="7985"/>
    <n v="39925"/>
  </r>
  <r>
    <x v="897"/>
    <x v="1"/>
    <x v="2"/>
    <x v="3"/>
    <x v="3"/>
    <n v="46235"/>
    <n v="277410"/>
  </r>
  <r>
    <x v="898"/>
    <x v="0"/>
    <x v="0"/>
    <x v="2"/>
    <x v="9"/>
    <n v="23931"/>
    <n v="167517"/>
  </r>
  <r>
    <x v="899"/>
    <x v="0"/>
    <x v="3"/>
    <x v="1"/>
    <x v="1"/>
    <n v="5336"/>
    <n v="5336"/>
  </r>
  <r>
    <x v="900"/>
    <x v="2"/>
    <x v="1"/>
    <x v="3"/>
    <x v="9"/>
    <n v="47933"/>
    <n v="335531"/>
  </r>
  <r>
    <x v="901"/>
    <x v="1"/>
    <x v="0"/>
    <x v="0"/>
    <x v="16"/>
    <n v="50536"/>
    <n v="606432"/>
  </r>
  <r>
    <x v="902"/>
    <x v="3"/>
    <x v="1"/>
    <x v="0"/>
    <x v="5"/>
    <n v="74504"/>
    <n v="1192064"/>
  </r>
  <r>
    <x v="903"/>
    <x v="0"/>
    <x v="1"/>
    <x v="3"/>
    <x v="5"/>
    <n v="56148"/>
    <n v="898368"/>
  </r>
  <r>
    <x v="904"/>
    <x v="0"/>
    <x v="3"/>
    <x v="2"/>
    <x v="8"/>
    <n v="21279"/>
    <n v="234069"/>
  </r>
  <r>
    <x v="905"/>
    <x v="3"/>
    <x v="2"/>
    <x v="0"/>
    <x v="4"/>
    <n v="73665"/>
    <n v="294660"/>
  </r>
  <r>
    <x v="906"/>
    <x v="3"/>
    <x v="4"/>
    <x v="4"/>
    <x v="0"/>
    <n v="71670"/>
    <n v="931710"/>
  </r>
  <r>
    <x v="907"/>
    <x v="0"/>
    <x v="2"/>
    <x v="5"/>
    <x v="9"/>
    <n v="59028"/>
    <n v="413196"/>
  </r>
  <r>
    <x v="908"/>
    <x v="0"/>
    <x v="3"/>
    <x v="3"/>
    <x v="4"/>
    <n v="23108"/>
    <n v="92432"/>
  </r>
  <r>
    <x v="909"/>
    <x v="3"/>
    <x v="3"/>
    <x v="3"/>
    <x v="6"/>
    <n v="57495"/>
    <n v="862425"/>
  </r>
  <r>
    <x v="910"/>
    <x v="0"/>
    <x v="3"/>
    <x v="0"/>
    <x v="15"/>
    <n v="61830"/>
    <n v="1174770"/>
  </r>
  <r>
    <x v="911"/>
    <x v="2"/>
    <x v="0"/>
    <x v="2"/>
    <x v="10"/>
    <n v="57509"/>
    <n v="517581"/>
  </r>
  <r>
    <x v="912"/>
    <x v="2"/>
    <x v="2"/>
    <x v="4"/>
    <x v="8"/>
    <n v="71406"/>
    <n v="785466"/>
  </r>
  <r>
    <x v="913"/>
    <x v="3"/>
    <x v="2"/>
    <x v="2"/>
    <x v="18"/>
    <n v="44519"/>
    <n v="356152"/>
  </r>
  <r>
    <x v="914"/>
    <x v="1"/>
    <x v="1"/>
    <x v="1"/>
    <x v="1"/>
    <n v="54649"/>
    <n v="54649"/>
  </r>
  <r>
    <x v="915"/>
    <x v="3"/>
    <x v="1"/>
    <x v="1"/>
    <x v="18"/>
    <n v="39524"/>
    <n v="316192"/>
  </r>
  <r>
    <x v="916"/>
    <x v="3"/>
    <x v="1"/>
    <x v="5"/>
    <x v="0"/>
    <n v="38885"/>
    <n v="505505"/>
  </r>
  <r>
    <x v="917"/>
    <x v="1"/>
    <x v="3"/>
    <x v="0"/>
    <x v="4"/>
    <n v="49369"/>
    <n v="197476"/>
  </r>
  <r>
    <x v="918"/>
    <x v="1"/>
    <x v="2"/>
    <x v="0"/>
    <x v="18"/>
    <n v="35676"/>
    <n v="285408"/>
  </r>
  <r>
    <x v="919"/>
    <x v="1"/>
    <x v="3"/>
    <x v="0"/>
    <x v="14"/>
    <n v="69093"/>
    <n v="207279"/>
  </r>
  <r>
    <x v="920"/>
    <x v="2"/>
    <x v="0"/>
    <x v="5"/>
    <x v="10"/>
    <n v="52764"/>
    <n v="474876"/>
  </r>
  <r>
    <x v="921"/>
    <x v="0"/>
    <x v="1"/>
    <x v="1"/>
    <x v="17"/>
    <n v="55799"/>
    <n v="111598"/>
  </r>
  <r>
    <x v="922"/>
    <x v="2"/>
    <x v="3"/>
    <x v="2"/>
    <x v="17"/>
    <n v="36923"/>
    <n v="73846"/>
  </r>
  <r>
    <x v="923"/>
    <x v="0"/>
    <x v="3"/>
    <x v="5"/>
    <x v="0"/>
    <n v="52574"/>
    <n v="683462"/>
  </r>
  <r>
    <x v="924"/>
    <x v="2"/>
    <x v="0"/>
    <x v="5"/>
    <x v="6"/>
    <n v="48391"/>
    <n v="725865"/>
  </r>
  <r>
    <x v="925"/>
    <x v="0"/>
    <x v="4"/>
    <x v="2"/>
    <x v="16"/>
    <n v="58664"/>
    <n v="703968"/>
  </r>
  <r>
    <x v="926"/>
    <x v="2"/>
    <x v="2"/>
    <x v="0"/>
    <x v="4"/>
    <n v="72384"/>
    <n v="289536"/>
  </r>
  <r>
    <x v="927"/>
    <x v="1"/>
    <x v="4"/>
    <x v="4"/>
    <x v="18"/>
    <n v="36027"/>
    <n v="288216"/>
  </r>
  <r>
    <x v="928"/>
    <x v="3"/>
    <x v="1"/>
    <x v="2"/>
    <x v="10"/>
    <n v="40464"/>
    <n v="364176"/>
  </r>
  <r>
    <x v="929"/>
    <x v="2"/>
    <x v="3"/>
    <x v="1"/>
    <x v="11"/>
    <n v="39485"/>
    <n v="197425"/>
  </r>
  <r>
    <x v="930"/>
    <x v="0"/>
    <x v="0"/>
    <x v="3"/>
    <x v="13"/>
    <n v="24456"/>
    <n v="440208"/>
  </r>
  <r>
    <x v="931"/>
    <x v="1"/>
    <x v="0"/>
    <x v="3"/>
    <x v="8"/>
    <n v="40554"/>
    <n v="446094"/>
  </r>
  <r>
    <x v="932"/>
    <x v="2"/>
    <x v="2"/>
    <x v="5"/>
    <x v="6"/>
    <n v="51922"/>
    <n v="778830"/>
  </r>
  <r>
    <x v="933"/>
    <x v="2"/>
    <x v="4"/>
    <x v="3"/>
    <x v="10"/>
    <n v="18409"/>
    <n v="165681"/>
  </r>
  <r>
    <x v="934"/>
    <x v="1"/>
    <x v="2"/>
    <x v="4"/>
    <x v="2"/>
    <n v="74327"/>
    <n v="1263559"/>
  </r>
  <r>
    <x v="935"/>
    <x v="2"/>
    <x v="3"/>
    <x v="0"/>
    <x v="16"/>
    <n v="41639"/>
    <n v="499668"/>
  </r>
  <r>
    <x v="936"/>
    <x v="3"/>
    <x v="2"/>
    <x v="1"/>
    <x v="9"/>
    <n v="68627"/>
    <n v="480389"/>
  </r>
  <r>
    <x v="937"/>
    <x v="2"/>
    <x v="0"/>
    <x v="4"/>
    <x v="12"/>
    <n v="24692"/>
    <n v="246920"/>
  </r>
  <r>
    <x v="938"/>
    <x v="3"/>
    <x v="0"/>
    <x v="1"/>
    <x v="12"/>
    <n v="59200"/>
    <n v="592000"/>
  </r>
  <r>
    <x v="939"/>
    <x v="3"/>
    <x v="1"/>
    <x v="1"/>
    <x v="0"/>
    <n v="62415"/>
    <n v="811395"/>
  </r>
  <r>
    <x v="940"/>
    <x v="1"/>
    <x v="1"/>
    <x v="0"/>
    <x v="15"/>
    <n v="23074"/>
    <n v="438406"/>
  </r>
  <r>
    <x v="941"/>
    <x v="2"/>
    <x v="3"/>
    <x v="5"/>
    <x v="8"/>
    <n v="20549"/>
    <n v="226039"/>
  </r>
  <r>
    <x v="942"/>
    <x v="1"/>
    <x v="4"/>
    <x v="3"/>
    <x v="0"/>
    <n v="34963"/>
    <n v="454519"/>
  </r>
  <r>
    <x v="943"/>
    <x v="2"/>
    <x v="2"/>
    <x v="0"/>
    <x v="18"/>
    <n v="57265"/>
    <n v="458120"/>
  </r>
  <r>
    <x v="944"/>
    <x v="2"/>
    <x v="3"/>
    <x v="4"/>
    <x v="18"/>
    <n v="21061"/>
    <n v="168488"/>
  </r>
  <r>
    <x v="945"/>
    <x v="0"/>
    <x v="1"/>
    <x v="5"/>
    <x v="4"/>
    <n v="63226"/>
    <n v="252904"/>
  </r>
  <r>
    <x v="946"/>
    <x v="2"/>
    <x v="2"/>
    <x v="4"/>
    <x v="6"/>
    <n v="33810"/>
    <n v="507150"/>
  </r>
  <r>
    <x v="947"/>
    <x v="1"/>
    <x v="1"/>
    <x v="5"/>
    <x v="8"/>
    <n v="65006"/>
    <n v="715066"/>
  </r>
  <r>
    <x v="948"/>
    <x v="3"/>
    <x v="2"/>
    <x v="4"/>
    <x v="8"/>
    <n v="27800"/>
    <n v="305800"/>
  </r>
  <r>
    <x v="949"/>
    <x v="2"/>
    <x v="4"/>
    <x v="0"/>
    <x v="1"/>
    <n v="74460"/>
    <n v="74460"/>
  </r>
  <r>
    <x v="950"/>
    <x v="0"/>
    <x v="3"/>
    <x v="5"/>
    <x v="2"/>
    <n v="62767"/>
    <n v="1067039"/>
  </r>
  <r>
    <x v="951"/>
    <x v="1"/>
    <x v="2"/>
    <x v="5"/>
    <x v="6"/>
    <n v="33054"/>
    <n v="495810"/>
  </r>
  <r>
    <x v="952"/>
    <x v="2"/>
    <x v="0"/>
    <x v="1"/>
    <x v="3"/>
    <n v="50397"/>
    <n v="302382"/>
  </r>
  <r>
    <x v="953"/>
    <x v="1"/>
    <x v="0"/>
    <x v="1"/>
    <x v="6"/>
    <n v="18233"/>
    <n v="273495"/>
  </r>
  <r>
    <x v="954"/>
    <x v="0"/>
    <x v="2"/>
    <x v="2"/>
    <x v="10"/>
    <n v="30068"/>
    <n v="270612"/>
  </r>
  <r>
    <x v="955"/>
    <x v="0"/>
    <x v="2"/>
    <x v="4"/>
    <x v="7"/>
    <n v="70727"/>
    <n v="990178"/>
  </r>
  <r>
    <x v="956"/>
    <x v="1"/>
    <x v="2"/>
    <x v="1"/>
    <x v="13"/>
    <n v="30832"/>
    <n v="554976"/>
  </r>
  <r>
    <x v="957"/>
    <x v="2"/>
    <x v="0"/>
    <x v="2"/>
    <x v="2"/>
    <n v="18682"/>
    <n v="317594"/>
  </r>
  <r>
    <x v="958"/>
    <x v="3"/>
    <x v="0"/>
    <x v="1"/>
    <x v="13"/>
    <n v="28383"/>
    <n v="510894"/>
  </r>
  <r>
    <x v="959"/>
    <x v="0"/>
    <x v="2"/>
    <x v="4"/>
    <x v="11"/>
    <n v="63160"/>
    <n v="315800"/>
  </r>
  <r>
    <x v="960"/>
    <x v="2"/>
    <x v="1"/>
    <x v="5"/>
    <x v="10"/>
    <n v="28666"/>
    <n v="257994"/>
  </r>
  <r>
    <x v="961"/>
    <x v="2"/>
    <x v="1"/>
    <x v="3"/>
    <x v="8"/>
    <n v="63817"/>
    <n v="701987"/>
  </r>
  <r>
    <x v="962"/>
    <x v="3"/>
    <x v="4"/>
    <x v="4"/>
    <x v="1"/>
    <n v="39642"/>
    <n v="39642"/>
  </r>
  <r>
    <x v="963"/>
    <x v="0"/>
    <x v="3"/>
    <x v="0"/>
    <x v="13"/>
    <n v="46830"/>
    <n v="842940"/>
  </r>
  <r>
    <x v="964"/>
    <x v="0"/>
    <x v="1"/>
    <x v="1"/>
    <x v="3"/>
    <n v="15234"/>
    <n v="91404"/>
  </r>
  <r>
    <x v="965"/>
    <x v="2"/>
    <x v="0"/>
    <x v="1"/>
    <x v="17"/>
    <n v="62616"/>
    <n v="125232"/>
  </r>
  <r>
    <x v="966"/>
    <x v="2"/>
    <x v="1"/>
    <x v="5"/>
    <x v="6"/>
    <n v="14221"/>
    <n v="213315"/>
  </r>
  <r>
    <x v="967"/>
    <x v="3"/>
    <x v="4"/>
    <x v="0"/>
    <x v="7"/>
    <n v="16410"/>
    <n v="229740"/>
  </r>
  <r>
    <x v="968"/>
    <x v="3"/>
    <x v="4"/>
    <x v="5"/>
    <x v="11"/>
    <n v="66413"/>
    <n v="332065"/>
  </r>
  <r>
    <x v="969"/>
    <x v="0"/>
    <x v="3"/>
    <x v="0"/>
    <x v="3"/>
    <n v="6051"/>
    <n v="36306"/>
  </r>
  <r>
    <x v="970"/>
    <x v="1"/>
    <x v="1"/>
    <x v="3"/>
    <x v="3"/>
    <n v="61563"/>
    <n v="369378"/>
  </r>
  <r>
    <x v="971"/>
    <x v="0"/>
    <x v="0"/>
    <x v="1"/>
    <x v="13"/>
    <n v="49757"/>
    <n v="895626"/>
  </r>
  <r>
    <x v="972"/>
    <x v="2"/>
    <x v="0"/>
    <x v="1"/>
    <x v="7"/>
    <n v="56257"/>
    <n v="787598"/>
  </r>
  <r>
    <x v="973"/>
    <x v="0"/>
    <x v="2"/>
    <x v="3"/>
    <x v="12"/>
    <n v="5307"/>
    <n v="53070"/>
  </r>
  <r>
    <x v="974"/>
    <x v="1"/>
    <x v="0"/>
    <x v="2"/>
    <x v="7"/>
    <n v="61889"/>
    <n v="866446"/>
  </r>
  <r>
    <x v="975"/>
    <x v="3"/>
    <x v="3"/>
    <x v="5"/>
    <x v="0"/>
    <n v="73895"/>
    <n v="960635"/>
  </r>
  <r>
    <x v="976"/>
    <x v="1"/>
    <x v="3"/>
    <x v="3"/>
    <x v="14"/>
    <n v="40944"/>
    <n v="122832"/>
  </r>
  <r>
    <x v="977"/>
    <x v="1"/>
    <x v="0"/>
    <x v="5"/>
    <x v="3"/>
    <n v="43134"/>
    <n v="258804"/>
  </r>
  <r>
    <x v="978"/>
    <x v="1"/>
    <x v="0"/>
    <x v="4"/>
    <x v="18"/>
    <n v="32323"/>
    <n v="258584"/>
  </r>
  <r>
    <x v="979"/>
    <x v="3"/>
    <x v="2"/>
    <x v="1"/>
    <x v="16"/>
    <n v="30954"/>
    <n v="371448"/>
  </r>
  <r>
    <x v="980"/>
    <x v="1"/>
    <x v="0"/>
    <x v="5"/>
    <x v="0"/>
    <n v="60021"/>
    <n v="780273"/>
  </r>
  <r>
    <x v="981"/>
    <x v="1"/>
    <x v="2"/>
    <x v="0"/>
    <x v="8"/>
    <n v="9992"/>
    <n v="109912"/>
  </r>
  <r>
    <x v="982"/>
    <x v="1"/>
    <x v="2"/>
    <x v="5"/>
    <x v="16"/>
    <n v="6961"/>
    <n v="83532"/>
  </r>
  <r>
    <x v="983"/>
    <x v="2"/>
    <x v="0"/>
    <x v="4"/>
    <x v="1"/>
    <n v="17497"/>
    <n v="17497"/>
  </r>
  <r>
    <x v="984"/>
    <x v="1"/>
    <x v="4"/>
    <x v="1"/>
    <x v="2"/>
    <n v="37551"/>
    <n v="638367"/>
  </r>
  <r>
    <x v="985"/>
    <x v="3"/>
    <x v="4"/>
    <x v="3"/>
    <x v="5"/>
    <n v="60755"/>
    <n v="972080"/>
  </r>
  <r>
    <x v="986"/>
    <x v="1"/>
    <x v="2"/>
    <x v="4"/>
    <x v="8"/>
    <n v="18255"/>
    <n v="200805"/>
  </r>
  <r>
    <x v="987"/>
    <x v="1"/>
    <x v="0"/>
    <x v="1"/>
    <x v="0"/>
    <n v="9567"/>
    <n v="124371"/>
  </r>
  <r>
    <x v="988"/>
    <x v="3"/>
    <x v="4"/>
    <x v="5"/>
    <x v="13"/>
    <n v="53847"/>
    <n v="969246"/>
  </r>
  <r>
    <x v="989"/>
    <x v="1"/>
    <x v="0"/>
    <x v="2"/>
    <x v="8"/>
    <n v="53003"/>
    <n v="583033"/>
  </r>
  <r>
    <x v="990"/>
    <x v="3"/>
    <x v="0"/>
    <x v="2"/>
    <x v="16"/>
    <n v="25389"/>
    <n v="304668"/>
  </r>
  <r>
    <x v="991"/>
    <x v="1"/>
    <x v="0"/>
    <x v="0"/>
    <x v="3"/>
    <n v="49523"/>
    <n v="297138"/>
  </r>
  <r>
    <x v="992"/>
    <x v="3"/>
    <x v="1"/>
    <x v="1"/>
    <x v="10"/>
    <n v="66576"/>
    <n v="599184"/>
  </r>
  <r>
    <x v="993"/>
    <x v="1"/>
    <x v="0"/>
    <x v="2"/>
    <x v="5"/>
    <n v="48919"/>
    <n v="782704"/>
  </r>
  <r>
    <x v="994"/>
    <x v="1"/>
    <x v="1"/>
    <x v="3"/>
    <x v="4"/>
    <n v="8358"/>
    <n v="33432"/>
  </r>
  <r>
    <x v="995"/>
    <x v="2"/>
    <x v="2"/>
    <x v="1"/>
    <x v="14"/>
    <n v="10698"/>
    <n v="32094"/>
  </r>
  <r>
    <x v="996"/>
    <x v="2"/>
    <x v="4"/>
    <x v="3"/>
    <x v="5"/>
    <n v="71809"/>
    <n v="1148944"/>
  </r>
  <r>
    <x v="997"/>
    <x v="1"/>
    <x v="4"/>
    <x v="3"/>
    <x v="16"/>
    <n v="60805"/>
    <n v="729660"/>
  </r>
  <r>
    <x v="998"/>
    <x v="1"/>
    <x v="4"/>
    <x v="2"/>
    <x v="8"/>
    <n v="36349"/>
    <n v="399839"/>
  </r>
  <r>
    <x v="999"/>
    <x v="0"/>
    <x v="4"/>
    <x v="1"/>
    <x v="11"/>
    <n v="55248"/>
    <n v="276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4A2A0-2F06-4324-BD74-7016DD9DB09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9">
    <pivotField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3"/>
        <item x="1"/>
        <item x="2"/>
        <item t="default"/>
      </items>
    </pivotField>
    <pivotField axis="axisRow" showAll="0" sortType="ascending">
      <items count="6">
        <item x="0"/>
        <item x="2"/>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2"/>
  </rowFields>
  <rowItems count="6">
    <i>
      <x/>
    </i>
    <i>
      <x v="2"/>
    </i>
    <i>
      <x v="3"/>
    </i>
    <i>
      <x v="1"/>
    </i>
    <i>
      <x v="4"/>
    </i>
    <i t="grand">
      <x/>
    </i>
  </rowItems>
  <colItems count="1">
    <i/>
  </colItems>
  <dataFields count="1">
    <dataField name="Sum of Revenue" fld="6" baseField="0" baseItem="0" numFmtId="164"/>
  </dataFields>
  <formats count="1">
    <format dxfId="84">
      <pivotArea outline="0" collapsedLevelsAreSubtotals="1" fieldPosition="0"/>
    </format>
  </formats>
  <chartFormats count="6">
    <chartFormat chart="27" format="7" series="1">
      <pivotArea type="data" outline="0" fieldPosition="0">
        <references count="1">
          <reference field="4294967294" count="1" selected="0">
            <x v="0"/>
          </reference>
        </references>
      </pivotArea>
    </chartFormat>
    <chartFormat chart="27" format="8">
      <pivotArea type="data" outline="0" fieldPosition="0">
        <references count="2">
          <reference field="4294967294" count="1" selected="0">
            <x v="0"/>
          </reference>
          <reference field="2" count="1" selected="0">
            <x v="0"/>
          </reference>
        </references>
      </pivotArea>
    </chartFormat>
    <chartFormat chart="27" format="9">
      <pivotArea type="data" outline="0" fieldPosition="0">
        <references count="2">
          <reference field="4294967294" count="1" selected="0">
            <x v="0"/>
          </reference>
          <reference field="2" count="1" selected="0">
            <x v="1"/>
          </reference>
        </references>
      </pivotArea>
    </chartFormat>
    <chartFormat chart="27" format="10">
      <pivotArea type="data" outline="0" fieldPosition="0">
        <references count="2">
          <reference field="4294967294" count="1" selected="0">
            <x v="0"/>
          </reference>
          <reference field="2" count="1" selected="0">
            <x v="2"/>
          </reference>
        </references>
      </pivotArea>
    </chartFormat>
    <chartFormat chart="27" format="11">
      <pivotArea type="data" outline="0" fieldPosition="0">
        <references count="2">
          <reference field="4294967294" count="1" selected="0">
            <x v="0"/>
          </reference>
          <reference field="2" count="1" selected="0">
            <x v="3"/>
          </reference>
        </references>
      </pivotArea>
    </chartFormat>
    <chartFormat chart="27"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CD0DC-7293-4CC1-B7FB-F1D585DD449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3:I5" firstHeaderRow="0" firstDataRow="1" firstDataCol="1"/>
  <pivotFields count="9">
    <pivotField axis="axisRow"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3"/>
        <item x="1"/>
        <item x="2"/>
        <item t="default"/>
      </items>
    </pivotField>
    <pivotField showAll="0">
      <items count="6">
        <item x="0"/>
        <item x="2"/>
        <item x="1"/>
        <item x="4"/>
        <item x="3"/>
        <item t="default"/>
      </items>
    </pivotField>
    <pivotField showAll="0"/>
    <pivotField dataField="1" showAll="0">
      <items count="20">
        <item x="1"/>
        <item x="17"/>
        <item x="14"/>
        <item x="4"/>
        <item x="11"/>
        <item x="3"/>
        <item x="9"/>
        <item x="18"/>
        <item x="10"/>
        <item x="12"/>
        <item x="8"/>
        <item x="16"/>
        <item x="0"/>
        <item x="7"/>
        <item x="6"/>
        <item x="5"/>
        <item x="2"/>
        <item x="13"/>
        <item x="15"/>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sd="0" x="3"/>
        <item h="1" sd="0" x="4"/>
        <item h="1" sd="0" x="5"/>
        <item h="1" sd="0" x="6"/>
        <item h="1" sd="0" x="7"/>
        <item h="1" sd="0" x="8"/>
        <item h="1" sd="0" x="9"/>
        <item h="1" sd="0" x="10"/>
        <item h="1" sd="0" x="11"/>
        <item h="1" sd="0" x="12"/>
        <item h="1" sd="0" x="13"/>
        <item t="default" sd="0"/>
      </items>
    </pivotField>
  </pivotFields>
  <rowFields count="2">
    <field x="8"/>
    <field x="0"/>
  </rowFields>
  <rowItems count="2">
    <i>
      <x v="3"/>
    </i>
    <i t="grand">
      <x/>
    </i>
  </rowItems>
  <colFields count="1">
    <field x="-2"/>
  </colFields>
  <colItems count="2">
    <i>
      <x/>
    </i>
    <i i="1">
      <x v="1"/>
    </i>
  </colItems>
  <dataFields count="2">
    <dataField name="Sum of Revenue" fld="6" baseField="0" baseItem="0"/>
    <dataField name="Sum of Quantity" fld="4" baseField="8" baseItem="1" numFmtId="1"/>
  </dataFields>
  <formats count="2">
    <format dxfId="86">
      <pivotArea outline="0" collapsedLevelsAreSubtotals="1" fieldPosition="0"/>
    </format>
    <format dxfId="85">
      <pivotArea outline="0" fieldPosition="0">
        <references count="1">
          <reference field="4294967294" count="1">
            <x v="1"/>
          </reference>
        </references>
      </pivotArea>
    </format>
  </formats>
  <chartFormats count="2">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57FDF7-153A-4353-A900-2012E7C456D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D19" firstHeaderRow="1" firstDataRow="1" firstDataCol="0"/>
  <pivotFields count="9">
    <pivotField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3"/>
        <item x="1"/>
        <item x="2"/>
        <item t="default"/>
      </items>
    </pivotField>
    <pivotField showAll="0">
      <items count="6">
        <item x="0"/>
        <item x="2"/>
        <item x="1"/>
        <item x="4"/>
        <item x="3"/>
        <item t="default"/>
      </items>
    </pivotField>
    <pivotField showAll="0"/>
    <pivotField dataField="1" showAll="0">
      <items count="20">
        <item x="1"/>
        <item x="17"/>
        <item x="14"/>
        <item x="4"/>
        <item x="11"/>
        <item x="3"/>
        <item x="9"/>
        <item x="18"/>
        <item x="10"/>
        <item x="12"/>
        <item x="8"/>
        <item x="16"/>
        <item x="0"/>
        <item x="7"/>
        <item x="6"/>
        <item x="5"/>
        <item x="2"/>
        <item x="13"/>
        <item x="15"/>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sd="0" x="3"/>
        <item h="1" sd="0" x="4"/>
        <item h="1" sd="0" x="5"/>
        <item h="1" sd="0" x="6"/>
        <item h="1" sd="0" x="7"/>
        <item h="1" sd="0" x="8"/>
        <item h="1" sd="0" x="9"/>
        <item h="1" sd="0" x="10"/>
        <item h="1" sd="0" x="11"/>
        <item h="1" sd="0" x="12"/>
        <item h="1" sd="0" x="13"/>
        <item t="default"/>
      </items>
    </pivotField>
  </pivotFields>
  <rowItems count="1">
    <i/>
  </rowItems>
  <colItems count="1">
    <i/>
  </colItems>
  <dataFields count="1">
    <dataField name="Count of Quantity" fld="4" subtotal="count" baseField="0" baseItem="0" numFmtId="1"/>
  </dataFields>
  <formats count="2">
    <format dxfId="88">
      <pivotArea outline="0" collapsedLevelsAreSubtotals="1" fieldPosition="0"/>
    </format>
    <format dxfId="8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41D551-7336-4096-9B9E-F500670E95A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7" firstHeaderRow="1" firstDataRow="1" firstDataCol="1"/>
  <pivotFields count="9">
    <pivotField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3"/>
        <item x="1"/>
        <item x="2"/>
        <item t="default"/>
      </items>
    </pivotField>
    <pivotField showAll="0">
      <items count="6">
        <item x="0"/>
        <item x="2"/>
        <item x="1"/>
        <item x="4"/>
        <item x="3"/>
        <item t="default"/>
      </items>
    </pivotField>
    <pivotField axis="axisRow" showAll="0" measureFilter="1" sortType="descending">
      <items count="7">
        <item x="0"/>
        <item x="1"/>
        <item x="2"/>
        <item x="4"/>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3"/>
  </rowFields>
  <rowItems count="6">
    <i>
      <x/>
    </i>
    <i>
      <x v="1"/>
    </i>
    <i>
      <x v="3"/>
    </i>
    <i>
      <x v="2"/>
    </i>
    <i>
      <x v="5"/>
    </i>
    <i t="grand">
      <x/>
    </i>
  </rowItems>
  <colItems count="1">
    <i/>
  </colItems>
  <dataFields count="1">
    <dataField name="Sum of Revenue" fld="6" baseField="0" baseItem="0"/>
  </dataFields>
  <formats count="1">
    <format dxfId="8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591642-495F-4CA5-A452-6EEAFC47155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9">
    <pivotField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5">
        <item x="0"/>
        <item x="3"/>
        <item x="1"/>
        <item x="2"/>
        <item t="default"/>
      </items>
    </pivotField>
    <pivotField showAll="0">
      <items count="6">
        <item x="0"/>
        <item x="2"/>
        <item x="1"/>
        <item x="4"/>
        <item x="3"/>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1"/>
  </rowFields>
  <rowItems count="5">
    <i>
      <x/>
    </i>
    <i>
      <x v="1"/>
    </i>
    <i>
      <x v="2"/>
    </i>
    <i>
      <x v="3"/>
    </i>
    <i t="grand">
      <x/>
    </i>
  </rowItems>
  <colItems count="1">
    <i/>
  </colItems>
  <dataFields count="1">
    <dataField name="Sum of Revenue" fld="6" showDataAs="percentOfTotal" baseField="0" baseItem="0" numFmtId="1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A40EE0-D7B1-4BBC-A6EA-B3F17D44107C}" sourceName="Region">
  <pivotTables>
    <pivotTable tabId="4" name="PivotTable3"/>
    <pivotTable tabId="4" name="PivotTable1"/>
    <pivotTable tabId="4" name="PivotTable2"/>
    <pivotTable tabId="4" name="PivotTable4"/>
    <pivotTable tabId="4" name="PivotTable5"/>
  </pivotTables>
  <data>
    <tabular pivotCacheId="797217352">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3C8572-7064-4D23-A82D-269BC56A0BF5}" sourceName="Product">
  <pivotTables>
    <pivotTable tabId="4" name="PivotTable3"/>
    <pivotTable tabId="4" name="PivotTable1"/>
    <pivotTable tabId="4" name="PivotTable2"/>
    <pivotTable tabId="4" name="PivotTable4"/>
    <pivotTable tabId="4" name="PivotTable5"/>
  </pivotTables>
  <data>
    <tabular pivotCacheId="797217352">
      <items count="5">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7325A7B-C106-4DA9-AFE1-371BCA855659}" sourceName="Months (Date)">
  <pivotTables>
    <pivotTable tabId="4" name="PivotTable1"/>
    <pivotTable tabId="4" name="PivotTable2"/>
    <pivotTable tabId="4" name="PivotTable3"/>
    <pivotTable tabId="4" name="PivotTable4"/>
    <pivotTable tabId="4" name="PivotTable5"/>
  </pivotTables>
  <data>
    <tabular pivotCacheId="797217352">
      <items count="14">
        <i x="1"/>
        <i x="2"/>
        <i x="3" s="1"/>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73D752-EE46-4705-BAEA-6412B70850AB}" cache="Slicer_Region" caption="Region" style="SlicerStyleLight4" rowHeight="251883"/>
  <slicer name="Product" xr10:uid="{18EEC722-0B84-45FA-A2DA-56C38A1A9EC0}" cache="Slicer_Product" caption="Product" style="SlicerStyleLight4" rowHeight="251883"/>
  <slicer name="Months (Date)" xr10:uid="{B0E554FC-784D-4398-8D37-B646BA6372FF}" cache="Slicer_Months__Date" caption="Months (Date)" columnCount="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E51E2-0DA9-42A7-964A-6E6372B8C91A}">
  <dimension ref="A3:I19"/>
  <sheetViews>
    <sheetView zoomScale="84" workbookViewId="0">
      <selection activeCell="A4" sqref="A4"/>
    </sheetView>
  </sheetViews>
  <sheetFormatPr defaultRowHeight="14.5" x14ac:dyDescent="0.35"/>
  <cols>
    <col min="1" max="1" width="13.26953125" bestFit="1" customWidth="1"/>
    <col min="2" max="2" width="14.7265625" bestFit="1" customWidth="1"/>
    <col min="4" max="4" width="15.90625" bestFit="1" customWidth="1"/>
    <col min="5" max="5" width="14.7265625" bestFit="1" customWidth="1"/>
    <col min="6" max="6" width="14.453125" bestFit="1" customWidth="1"/>
    <col min="7" max="7" width="13.26953125" bestFit="1" customWidth="1"/>
    <col min="8" max="8" width="14.7265625" bestFit="1" customWidth="1"/>
    <col min="9" max="9" width="14.453125" bestFit="1" customWidth="1"/>
    <col min="10" max="12" width="3.6328125" bestFit="1" customWidth="1"/>
    <col min="13" max="26" width="4.6328125" bestFit="1" customWidth="1"/>
    <col min="27" max="27" width="10.36328125" bestFit="1" customWidth="1"/>
  </cols>
  <sheetData>
    <row r="3" spans="1:9" x14ac:dyDescent="0.35">
      <c r="A3" s="1" t="s">
        <v>22</v>
      </c>
      <c r="B3" t="s">
        <v>24</v>
      </c>
      <c r="D3" s="1" t="s">
        <v>22</v>
      </c>
      <c r="E3" t="s">
        <v>24</v>
      </c>
      <c r="G3" s="1" t="s">
        <v>22</v>
      </c>
      <c r="H3" t="s">
        <v>24</v>
      </c>
      <c r="I3" t="s">
        <v>26</v>
      </c>
    </row>
    <row r="4" spans="1:9" x14ac:dyDescent="0.35">
      <c r="A4" s="2" t="s">
        <v>8</v>
      </c>
      <c r="B4" s="3">
        <v>3770864</v>
      </c>
      <c r="D4" s="2" t="s">
        <v>6</v>
      </c>
      <c r="E4" s="5">
        <v>0.29619037807620952</v>
      </c>
      <c r="G4" s="2" t="s">
        <v>25</v>
      </c>
      <c r="H4" s="3">
        <v>28101345</v>
      </c>
      <c r="I4" s="4">
        <v>777</v>
      </c>
    </row>
    <row r="5" spans="1:9" x14ac:dyDescent="0.35">
      <c r="A5" s="2" t="s">
        <v>9</v>
      </c>
      <c r="B5" s="3">
        <v>4405069</v>
      </c>
      <c r="D5" s="2" t="s">
        <v>12</v>
      </c>
      <c r="E5" s="5">
        <v>0.20663786733339631</v>
      </c>
      <c r="G5" s="2" t="s">
        <v>23</v>
      </c>
      <c r="H5" s="3">
        <v>28101345</v>
      </c>
      <c r="I5" s="4">
        <v>777</v>
      </c>
    </row>
    <row r="6" spans="1:9" x14ac:dyDescent="0.35">
      <c r="A6" s="2" t="s">
        <v>11</v>
      </c>
      <c r="B6" s="3">
        <v>5752584</v>
      </c>
      <c r="D6" s="2" t="s">
        <v>7</v>
      </c>
      <c r="E6" s="5">
        <v>0.26357083620018901</v>
      </c>
    </row>
    <row r="7" spans="1:9" x14ac:dyDescent="0.35">
      <c r="A7" s="2" t="s">
        <v>10</v>
      </c>
      <c r="B7" s="3">
        <v>6834265</v>
      </c>
      <c r="D7" s="2" t="s">
        <v>13</v>
      </c>
      <c r="E7" s="5">
        <v>0.23360091839020516</v>
      </c>
    </row>
    <row r="8" spans="1:9" x14ac:dyDescent="0.35">
      <c r="A8" s="2" t="s">
        <v>21</v>
      </c>
      <c r="B8" s="3">
        <v>7338563</v>
      </c>
      <c r="D8" s="2" t="s">
        <v>23</v>
      </c>
      <c r="E8" s="5">
        <v>1</v>
      </c>
    </row>
    <row r="9" spans="1:9" x14ac:dyDescent="0.35">
      <c r="A9" s="2" t="s">
        <v>23</v>
      </c>
      <c r="B9" s="3">
        <v>28101345</v>
      </c>
    </row>
    <row r="11" spans="1:9" x14ac:dyDescent="0.35">
      <c r="A11" s="1" t="s">
        <v>22</v>
      </c>
      <c r="B11" t="s">
        <v>24</v>
      </c>
    </row>
    <row r="12" spans="1:9" x14ac:dyDescent="0.35">
      <c r="A12" s="2" t="s">
        <v>19</v>
      </c>
      <c r="B12" s="3">
        <v>6166614</v>
      </c>
    </row>
    <row r="13" spans="1:9" x14ac:dyDescent="0.35">
      <c r="A13" s="2" t="s">
        <v>18</v>
      </c>
      <c r="B13" s="3">
        <v>5807879</v>
      </c>
    </row>
    <row r="14" spans="1:9" x14ac:dyDescent="0.35">
      <c r="A14" s="2" t="s">
        <v>16</v>
      </c>
      <c r="B14" s="3">
        <v>4486314</v>
      </c>
      <c r="D14" t="s">
        <v>28</v>
      </c>
      <c r="E14" s="3">
        <f>GETPIVOTDATA("Revenue",$A$3)</f>
        <v>28101345</v>
      </c>
    </row>
    <row r="15" spans="1:9" x14ac:dyDescent="0.35">
      <c r="A15" s="2" t="s">
        <v>14</v>
      </c>
      <c r="B15" s="3">
        <v>4325490</v>
      </c>
      <c r="D15" t="s">
        <v>29</v>
      </c>
      <c r="E15" s="4">
        <f>GETPIVOTDATA("Sum of Quantity",$G$3)</f>
        <v>777</v>
      </c>
    </row>
    <row r="16" spans="1:9" x14ac:dyDescent="0.35">
      <c r="A16" s="2" t="s">
        <v>15</v>
      </c>
      <c r="B16" s="3">
        <v>3670161</v>
      </c>
      <c r="D16" t="s">
        <v>30</v>
      </c>
      <c r="E16" s="4">
        <f>GETPIVOTDATA("Quantity",$D$18)</f>
        <v>86</v>
      </c>
    </row>
    <row r="17" spans="1:4" x14ac:dyDescent="0.35">
      <c r="A17" s="2" t="s">
        <v>23</v>
      </c>
      <c r="B17" s="3">
        <v>24456458</v>
      </c>
    </row>
    <row r="18" spans="1:4" x14ac:dyDescent="0.35">
      <c r="D18" t="s">
        <v>27</v>
      </c>
    </row>
    <row r="19" spans="1:4" x14ac:dyDescent="0.35">
      <c r="D19" s="4">
        <v>86</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783F4-1E54-498D-B246-DA25255B07A6}">
  <dimension ref="A1:G1001"/>
  <sheetViews>
    <sheetView workbookViewId="0">
      <selection activeCell="G5" sqref="G5"/>
    </sheetView>
  </sheetViews>
  <sheetFormatPr defaultRowHeight="14.5" x14ac:dyDescent="0.35"/>
  <cols>
    <col min="1" max="1" width="15.08984375" bestFit="1" customWidth="1"/>
    <col min="2" max="2" width="9.1796875" bestFit="1" customWidth="1"/>
    <col min="3" max="3" width="9.36328125" customWidth="1"/>
    <col min="4" max="4" width="13.08984375" customWidth="1"/>
    <col min="5" max="5" width="10" customWidth="1"/>
    <col min="6" max="6" width="11.453125" customWidth="1"/>
  </cols>
  <sheetData>
    <row r="1" spans="1:7" x14ac:dyDescent="0.35">
      <c r="A1" s="8" t="s">
        <v>0</v>
      </c>
      <c r="B1" s="9" t="s">
        <v>1</v>
      </c>
      <c r="C1" s="9" t="s">
        <v>2</v>
      </c>
      <c r="D1" s="9" t="s">
        <v>3</v>
      </c>
      <c r="E1" s="9" t="s">
        <v>4</v>
      </c>
      <c r="F1" s="9" t="s">
        <v>5</v>
      </c>
      <c r="G1" s="10" t="s">
        <v>20</v>
      </c>
    </row>
    <row r="2" spans="1:7" x14ac:dyDescent="0.35">
      <c r="A2" s="11">
        <v>44927</v>
      </c>
      <c r="B2" s="12" t="s">
        <v>6</v>
      </c>
      <c r="C2" s="12" t="s">
        <v>8</v>
      </c>
      <c r="D2" s="12" t="s">
        <v>19</v>
      </c>
      <c r="E2" s="12">
        <v>13</v>
      </c>
      <c r="F2" s="12">
        <v>68064</v>
      </c>
      <c r="G2" s="13">
        <f>'Data File'!$F2*'Data File'!$E2</f>
        <v>884832</v>
      </c>
    </row>
    <row r="3" spans="1:7" x14ac:dyDescent="0.35">
      <c r="A3" s="14">
        <v>44927.364363425928</v>
      </c>
      <c r="B3" s="15" t="s">
        <v>7</v>
      </c>
      <c r="C3" s="15" t="s">
        <v>8</v>
      </c>
      <c r="D3" s="15" t="s">
        <v>19</v>
      </c>
      <c r="E3" s="15">
        <v>1</v>
      </c>
      <c r="F3" s="15">
        <v>68761</v>
      </c>
      <c r="G3" s="16">
        <f>'Data File'!$F3*'Data File'!$E3</f>
        <v>68761</v>
      </c>
    </row>
    <row r="4" spans="1:7" x14ac:dyDescent="0.35">
      <c r="A4" s="11">
        <v>44927.728726851848</v>
      </c>
      <c r="B4" s="12" t="s">
        <v>13</v>
      </c>
      <c r="C4" s="12" t="s">
        <v>8</v>
      </c>
      <c r="D4" s="12" t="s">
        <v>19</v>
      </c>
      <c r="E4" s="12">
        <v>17</v>
      </c>
      <c r="F4" s="12">
        <v>43870</v>
      </c>
      <c r="G4" s="13">
        <f>'Data File'!$F4*'Data File'!$E4</f>
        <v>745790</v>
      </c>
    </row>
    <row r="5" spans="1:7" x14ac:dyDescent="0.35">
      <c r="A5" s="14">
        <v>44928.093090277776</v>
      </c>
      <c r="B5" s="15" t="s">
        <v>6</v>
      </c>
      <c r="C5" s="15" t="s">
        <v>9</v>
      </c>
      <c r="D5" s="15" t="s">
        <v>18</v>
      </c>
      <c r="E5" s="15">
        <v>6</v>
      </c>
      <c r="F5" s="15">
        <v>35873</v>
      </c>
      <c r="G5" s="16">
        <f>'Data File'!$F5*'Data File'!$E5</f>
        <v>215238</v>
      </c>
    </row>
    <row r="6" spans="1:7" x14ac:dyDescent="0.35">
      <c r="A6" s="11">
        <v>44928.457453703704</v>
      </c>
      <c r="B6" s="12" t="s">
        <v>6</v>
      </c>
      <c r="C6" s="12" t="s">
        <v>10</v>
      </c>
      <c r="D6" s="12" t="s">
        <v>14</v>
      </c>
      <c r="E6" s="12">
        <v>4</v>
      </c>
      <c r="F6" s="12">
        <v>63627</v>
      </c>
      <c r="G6" s="13">
        <f>'Data File'!$F6*'Data File'!$E6</f>
        <v>254508</v>
      </c>
    </row>
    <row r="7" spans="1:7" x14ac:dyDescent="0.35">
      <c r="A7" s="14">
        <v>44928.821817129632</v>
      </c>
      <c r="B7" s="15" t="s">
        <v>7</v>
      </c>
      <c r="C7" s="15" t="s">
        <v>9</v>
      </c>
      <c r="D7" s="15" t="s">
        <v>15</v>
      </c>
      <c r="E7" s="15">
        <v>16</v>
      </c>
      <c r="F7" s="15">
        <v>71155</v>
      </c>
      <c r="G7" s="16">
        <f>'Data File'!$F7*'Data File'!$E7</f>
        <v>1138480</v>
      </c>
    </row>
    <row r="8" spans="1:7" x14ac:dyDescent="0.35">
      <c r="A8" s="11">
        <v>44929.186180555553</v>
      </c>
      <c r="B8" s="12" t="s">
        <v>13</v>
      </c>
      <c r="C8" s="12" t="s">
        <v>10</v>
      </c>
      <c r="D8" s="12" t="s">
        <v>16</v>
      </c>
      <c r="E8" s="12">
        <v>15</v>
      </c>
      <c r="F8" s="12">
        <v>30372</v>
      </c>
      <c r="G8" s="13">
        <f>'Data File'!$F8*'Data File'!$E8</f>
        <v>455580</v>
      </c>
    </row>
    <row r="9" spans="1:7" x14ac:dyDescent="0.35">
      <c r="A9" s="14">
        <v>44929.550555555557</v>
      </c>
      <c r="B9" s="15" t="s">
        <v>13</v>
      </c>
      <c r="C9" s="15" t="s">
        <v>9</v>
      </c>
      <c r="D9" s="15" t="s">
        <v>15</v>
      </c>
      <c r="E9" s="15">
        <v>15</v>
      </c>
      <c r="F9" s="15">
        <v>8642</v>
      </c>
      <c r="G9" s="16">
        <f>'Data File'!$F9*'Data File'!$E9</f>
        <v>129630</v>
      </c>
    </row>
    <row r="10" spans="1:7" x14ac:dyDescent="0.35">
      <c r="A10" s="11">
        <v>44929.914918981478</v>
      </c>
      <c r="B10" s="12" t="s">
        <v>6</v>
      </c>
      <c r="C10" s="12" t="s">
        <v>9</v>
      </c>
      <c r="D10" s="12" t="s">
        <v>15</v>
      </c>
      <c r="E10" s="12">
        <v>6</v>
      </c>
      <c r="F10" s="12">
        <v>33001</v>
      </c>
      <c r="G10" s="13">
        <f>'Data File'!$F10*'Data File'!$E10</f>
        <v>198006</v>
      </c>
    </row>
    <row r="11" spans="1:7" x14ac:dyDescent="0.35">
      <c r="A11" s="14">
        <v>44930.279282407406</v>
      </c>
      <c r="B11" s="15" t="s">
        <v>12</v>
      </c>
      <c r="C11" s="15" t="s">
        <v>21</v>
      </c>
      <c r="D11" s="15" t="s">
        <v>17</v>
      </c>
      <c r="E11" s="15">
        <v>15</v>
      </c>
      <c r="F11" s="15">
        <v>39064</v>
      </c>
      <c r="G11" s="16">
        <f>'Data File'!$F11*'Data File'!$E11</f>
        <v>585960</v>
      </c>
    </row>
    <row r="12" spans="1:7" x14ac:dyDescent="0.35">
      <c r="A12" s="11">
        <v>44930.643645833334</v>
      </c>
      <c r="B12" s="12" t="s">
        <v>6</v>
      </c>
      <c r="C12" s="12" t="s">
        <v>9</v>
      </c>
      <c r="D12" s="12" t="s">
        <v>14</v>
      </c>
      <c r="E12" s="12">
        <v>14</v>
      </c>
      <c r="F12" s="12">
        <v>19122</v>
      </c>
      <c r="G12" s="13">
        <f>'Data File'!$F12*'Data File'!$E12</f>
        <v>267708</v>
      </c>
    </row>
    <row r="13" spans="1:7" x14ac:dyDescent="0.35">
      <c r="A13" s="14">
        <v>44931.008009259262</v>
      </c>
      <c r="B13" s="15" t="s">
        <v>6</v>
      </c>
      <c r="C13" s="15" t="s">
        <v>11</v>
      </c>
      <c r="D13" s="15" t="s">
        <v>17</v>
      </c>
      <c r="E13" s="15">
        <v>11</v>
      </c>
      <c r="F13" s="15">
        <v>29820</v>
      </c>
      <c r="G13" s="16">
        <f>'Data File'!$F13*'Data File'!$E13</f>
        <v>328020</v>
      </c>
    </row>
    <row r="14" spans="1:7" x14ac:dyDescent="0.35">
      <c r="A14" s="11">
        <v>44931.372372685182</v>
      </c>
      <c r="B14" s="12" t="s">
        <v>6</v>
      </c>
      <c r="C14" s="12" t="s">
        <v>21</v>
      </c>
      <c r="D14" s="12" t="s">
        <v>14</v>
      </c>
      <c r="E14" s="12">
        <v>7</v>
      </c>
      <c r="F14" s="12">
        <v>73431</v>
      </c>
      <c r="G14" s="13">
        <f>'Data File'!$F14*'Data File'!$E14</f>
        <v>514017</v>
      </c>
    </row>
    <row r="15" spans="1:7" x14ac:dyDescent="0.35">
      <c r="A15" s="14">
        <v>44931.73673611111</v>
      </c>
      <c r="B15" s="15" t="s">
        <v>6</v>
      </c>
      <c r="C15" s="15" t="s">
        <v>9</v>
      </c>
      <c r="D15" s="15" t="s">
        <v>14</v>
      </c>
      <c r="E15" s="15">
        <v>9</v>
      </c>
      <c r="F15" s="15">
        <v>60745</v>
      </c>
      <c r="G15" s="16">
        <f>'Data File'!$F15*'Data File'!$E15</f>
        <v>546705</v>
      </c>
    </row>
    <row r="16" spans="1:7" x14ac:dyDescent="0.35">
      <c r="A16" s="11">
        <v>44932.101099537038</v>
      </c>
      <c r="B16" s="12" t="s">
        <v>7</v>
      </c>
      <c r="C16" s="12" t="s">
        <v>8</v>
      </c>
      <c r="D16" s="12" t="s">
        <v>19</v>
      </c>
      <c r="E16" s="12">
        <v>16</v>
      </c>
      <c r="F16" s="12">
        <v>55081</v>
      </c>
      <c r="G16" s="13">
        <f>'Data File'!$F16*'Data File'!$E16</f>
        <v>881296</v>
      </c>
    </row>
    <row r="17" spans="1:7" x14ac:dyDescent="0.35">
      <c r="A17" s="14">
        <v>44932.465462962966</v>
      </c>
      <c r="B17" s="15" t="s">
        <v>13</v>
      </c>
      <c r="C17" s="15" t="s">
        <v>11</v>
      </c>
      <c r="D17" s="15" t="s">
        <v>18</v>
      </c>
      <c r="E17" s="15">
        <v>5</v>
      </c>
      <c r="F17" s="15">
        <v>13711</v>
      </c>
      <c r="G17" s="16">
        <f>'Data File'!$F17*'Data File'!$E17</f>
        <v>68555</v>
      </c>
    </row>
    <row r="18" spans="1:7" x14ac:dyDescent="0.35">
      <c r="A18" s="11">
        <v>44932.829826388886</v>
      </c>
      <c r="B18" s="12" t="s">
        <v>7</v>
      </c>
      <c r="C18" s="12" t="s">
        <v>11</v>
      </c>
      <c r="D18" s="12" t="s">
        <v>19</v>
      </c>
      <c r="E18" s="12">
        <v>10</v>
      </c>
      <c r="F18" s="12">
        <v>23793</v>
      </c>
      <c r="G18" s="13">
        <f>'Data File'!$F18*'Data File'!$E18</f>
        <v>237930</v>
      </c>
    </row>
    <row r="19" spans="1:7" x14ac:dyDescent="0.35">
      <c r="A19" s="14">
        <v>44933.194189814814</v>
      </c>
      <c r="B19" s="15" t="s">
        <v>7</v>
      </c>
      <c r="C19" s="15" t="s">
        <v>11</v>
      </c>
      <c r="D19" s="15" t="s">
        <v>18</v>
      </c>
      <c r="E19" s="15">
        <v>18</v>
      </c>
      <c r="F19" s="15">
        <v>13199</v>
      </c>
      <c r="G19" s="16">
        <f>'Data File'!$F19*'Data File'!$E19</f>
        <v>237582</v>
      </c>
    </row>
    <row r="20" spans="1:7" x14ac:dyDescent="0.35">
      <c r="A20" s="11">
        <v>44933.558553240742</v>
      </c>
      <c r="B20" s="12" t="s">
        <v>7</v>
      </c>
      <c r="C20" s="12" t="s">
        <v>21</v>
      </c>
      <c r="D20" s="12" t="s">
        <v>17</v>
      </c>
      <c r="E20" s="12">
        <v>3</v>
      </c>
      <c r="F20" s="12">
        <v>41191</v>
      </c>
      <c r="G20" s="13">
        <f>'Data File'!$F20*'Data File'!$E20</f>
        <v>123573</v>
      </c>
    </row>
    <row r="21" spans="1:7" x14ac:dyDescent="0.35">
      <c r="A21" s="14">
        <v>44933.92292824074</v>
      </c>
      <c r="B21" s="15" t="s">
        <v>6</v>
      </c>
      <c r="C21" s="15" t="s">
        <v>9</v>
      </c>
      <c r="D21" s="15" t="s">
        <v>18</v>
      </c>
      <c r="E21" s="15">
        <v>13</v>
      </c>
      <c r="F21" s="15">
        <v>15211</v>
      </c>
      <c r="G21" s="16">
        <f>'Data File'!$F21*'Data File'!$E21</f>
        <v>197743</v>
      </c>
    </row>
    <row r="22" spans="1:7" x14ac:dyDescent="0.35">
      <c r="A22" s="11">
        <v>44934.287291666667</v>
      </c>
      <c r="B22" s="12" t="s">
        <v>12</v>
      </c>
      <c r="C22" s="12" t="s">
        <v>9</v>
      </c>
      <c r="D22" s="12" t="s">
        <v>17</v>
      </c>
      <c r="E22" s="12">
        <v>11</v>
      </c>
      <c r="F22" s="12">
        <v>68069</v>
      </c>
      <c r="G22" s="13">
        <f>'Data File'!$F22*'Data File'!$E22</f>
        <v>748759</v>
      </c>
    </row>
    <row r="23" spans="1:7" x14ac:dyDescent="0.35">
      <c r="A23" s="14">
        <v>44934.651655092595</v>
      </c>
      <c r="B23" s="15" t="s">
        <v>13</v>
      </c>
      <c r="C23" s="15" t="s">
        <v>8</v>
      </c>
      <c r="D23" s="15" t="s">
        <v>15</v>
      </c>
      <c r="E23" s="15">
        <v>17</v>
      </c>
      <c r="F23" s="15">
        <v>61746</v>
      </c>
      <c r="G23" s="16">
        <f>'Data File'!$F23*'Data File'!$E23</f>
        <v>1049682</v>
      </c>
    </row>
    <row r="24" spans="1:7" x14ac:dyDescent="0.35">
      <c r="A24" s="11">
        <v>44935.016018518516</v>
      </c>
      <c r="B24" s="12" t="s">
        <v>12</v>
      </c>
      <c r="C24" s="12" t="s">
        <v>8</v>
      </c>
      <c r="D24" s="12" t="s">
        <v>15</v>
      </c>
      <c r="E24" s="12">
        <v>13</v>
      </c>
      <c r="F24" s="12">
        <v>26542</v>
      </c>
      <c r="G24" s="13">
        <f>'Data File'!$F24*'Data File'!$E24</f>
        <v>345046</v>
      </c>
    </row>
    <row r="25" spans="1:7" x14ac:dyDescent="0.35">
      <c r="A25" s="14">
        <v>44935.380381944444</v>
      </c>
      <c r="B25" s="15" t="s">
        <v>7</v>
      </c>
      <c r="C25" s="15" t="s">
        <v>11</v>
      </c>
      <c r="D25" s="15" t="s">
        <v>18</v>
      </c>
      <c r="E25" s="15">
        <v>6</v>
      </c>
      <c r="F25" s="15">
        <v>36312</v>
      </c>
      <c r="G25" s="16">
        <f>'Data File'!$F25*'Data File'!$E25</f>
        <v>217872</v>
      </c>
    </row>
    <row r="26" spans="1:7" x14ac:dyDescent="0.35">
      <c r="A26" s="11">
        <v>44935.744745370372</v>
      </c>
      <c r="B26" s="12" t="s">
        <v>7</v>
      </c>
      <c r="C26" s="12" t="s">
        <v>8</v>
      </c>
      <c r="D26" s="12" t="s">
        <v>18</v>
      </c>
      <c r="E26" s="12">
        <v>17</v>
      </c>
      <c r="F26" s="12">
        <v>50242</v>
      </c>
      <c r="G26" s="13">
        <f>'Data File'!$F26*'Data File'!$E26</f>
        <v>854114</v>
      </c>
    </row>
    <row r="27" spans="1:7" x14ac:dyDescent="0.35">
      <c r="A27" s="14">
        <v>44936.1091087963</v>
      </c>
      <c r="B27" s="15" t="s">
        <v>12</v>
      </c>
      <c r="C27" s="15" t="s">
        <v>21</v>
      </c>
      <c r="D27" s="15" t="s">
        <v>17</v>
      </c>
      <c r="E27" s="15">
        <v>13</v>
      </c>
      <c r="F27" s="15">
        <v>60388</v>
      </c>
      <c r="G27" s="16">
        <f>'Data File'!$F27*'Data File'!$E27</f>
        <v>785044</v>
      </c>
    </row>
    <row r="28" spans="1:7" x14ac:dyDescent="0.35">
      <c r="A28" s="11">
        <v>44936.47347222222</v>
      </c>
      <c r="B28" s="12" t="s">
        <v>12</v>
      </c>
      <c r="C28" s="12" t="s">
        <v>9</v>
      </c>
      <c r="D28" s="12" t="s">
        <v>19</v>
      </c>
      <c r="E28" s="12">
        <v>19</v>
      </c>
      <c r="F28" s="12">
        <v>32691</v>
      </c>
      <c r="G28" s="13">
        <f>'Data File'!$F28*'Data File'!$E28</f>
        <v>621129</v>
      </c>
    </row>
    <row r="29" spans="1:7" x14ac:dyDescent="0.35">
      <c r="A29" s="14">
        <v>44936.837835648148</v>
      </c>
      <c r="B29" s="15" t="s">
        <v>12</v>
      </c>
      <c r="C29" s="15" t="s">
        <v>11</v>
      </c>
      <c r="D29" s="15" t="s">
        <v>17</v>
      </c>
      <c r="E29" s="15">
        <v>19</v>
      </c>
      <c r="F29" s="15">
        <v>27601</v>
      </c>
      <c r="G29" s="16">
        <f>'Data File'!$F29*'Data File'!$E29</f>
        <v>524419</v>
      </c>
    </row>
    <row r="30" spans="1:7" x14ac:dyDescent="0.35">
      <c r="A30" s="11">
        <v>44937.202199074076</v>
      </c>
      <c r="B30" s="12" t="s">
        <v>7</v>
      </c>
      <c r="C30" s="12" t="s">
        <v>8</v>
      </c>
      <c r="D30" s="12" t="s">
        <v>19</v>
      </c>
      <c r="E30" s="12">
        <v>10</v>
      </c>
      <c r="F30" s="12">
        <v>23020</v>
      </c>
      <c r="G30" s="13">
        <f>'Data File'!$F30*'Data File'!$E30</f>
        <v>230200</v>
      </c>
    </row>
    <row r="31" spans="1:7" x14ac:dyDescent="0.35">
      <c r="A31" s="14">
        <v>44937.566562499997</v>
      </c>
      <c r="B31" s="15" t="s">
        <v>7</v>
      </c>
      <c r="C31" s="15" t="s">
        <v>21</v>
      </c>
      <c r="D31" s="15" t="s">
        <v>15</v>
      </c>
      <c r="E31" s="15">
        <v>3</v>
      </c>
      <c r="F31" s="15">
        <v>13155</v>
      </c>
      <c r="G31" s="16">
        <f>'Data File'!$F31*'Data File'!$E31</f>
        <v>39465</v>
      </c>
    </row>
    <row r="32" spans="1:7" x14ac:dyDescent="0.35">
      <c r="A32" s="11">
        <v>44937.930925925924</v>
      </c>
      <c r="B32" s="12" t="s">
        <v>13</v>
      </c>
      <c r="C32" s="12" t="s">
        <v>21</v>
      </c>
      <c r="D32" s="12" t="s">
        <v>14</v>
      </c>
      <c r="E32" s="12">
        <v>14</v>
      </c>
      <c r="F32" s="12">
        <v>74119</v>
      </c>
      <c r="G32" s="13">
        <f>'Data File'!$F32*'Data File'!$E32</f>
        <v>1037666</v>
      </c>
    </row>
    <row r="33" spans="1:7" x14ac:dyDescent="0.35">
      <c r="A33" s="14">
        <v>44938.295300925929</v>
      </c>
      <c r="B33" s="15" t="s">
        <v>13</v>
      </c>
      <c r="C33" s="15" t="s">
        <v>8</v>
      </c>
      <c r="D33" s="15" t="s">
        <v>18</v>
      </c>
      <c r="E33" s="15">
        <v>19</v>
      </c>
      <c r="F33" s="15">
        <v>41777</v>
      </c>
      <c r="G33" s="16">
        <f>'Data File'!$F33*'Data File'!$E33</f>
        <v>793763</v>
      </c>
    </row>
    <row r="34" spans="1:7" x14ac:dyDescent="0.35">
      <c r="A34" s="11">
        <v>44938.65966435185</v>
      </c>
      <c r="B34" s="12" t="s">
        <v>7</v>
      </c>
      <c r="C34" s="12" t="s">
        <v>9</v>
      </c>
      <c r="D34" s="12" t="s">
        <v>19</v>
      </c>
      <c r="E34" s="12">
        <v>5</v>
      </c>
      <c r="F34" s="12">
        <v>24710</v>
      </c>
      <c r="G34" s="13">
        <f>'Data File'!$F34*'Data File'!$E34</f>
        <v>123550</v>
      </c>
    </row>
    <row r="35" spans="1:7" x14ac:dyDescent="0.35">
      <c r="A35" s="14">
        <v>44939.024027777778</v>
      </c>
      <c r="B35" s="15" t="s">
        <v>12</v>
      </c>
      <c r="C35" s="15" t="s">
        <v>8</v>
      </c>
      <c r="D35" s="15" t="s">
        <v>17</v>
      </c>
      <c r="E35" s="15">
        <v>5</v>
      </c>
      <c r="F35" s="15">
        <v>29532</v>
      </c>
      <c r="G35" s="16">
        <f>'Data File'!$F35*'Data File'!$E35</f>
        <v>147660</v>
      </c>
    </row>
    <row r="36" spans="1:7" x14ac:dyDescent="0.35">
      <c r="A36" s="11">
        <v>44939.388391203705</v>
      </c>
      <c r="B36" s="12" t="s">
        <v>12</v>
      </c>
      <c r="C36" s="12" t="s">
        <v>11</v>
      </c>
      <c r="D36" s="12" t="s">
        <v>15</v>
      </c>
      <c r="E36" s="12">
        <v>17</v>
      </c>
      <c r="F36" s="12">
        <v>23601</v>
      </c>
      <c r="G36" s="13">
        <f>'Data File'!$F36*'Data File'!$E36</f>
        <v>401217</v>
      </c>
    </row>
    <row r="37" spans="1:7" x14ac:dyDescent="0.35">
      <c r="A37" s="14">
        <v>44939.752754629626</v>
      </c>
      <c r="B37" s="15" t="s">
        <v>13</v>
      </c>
      <c r="C37" s="15" t="s">
        <v>8</v>
      </c>
      <c r="D37" s="15" t="s">
        <v>19</v>
      </c>
      <c r="E37" s="15">
        <v>10</v>
      </c>
      <c r="F37" s="15">
        <v>68227</v>
      </c>
      <c r="G37" s="16">
        <f>'Data File'!$F37*'Data File'!$E37</f>
        <v>682270</v>
      </c>
    </row>
    <row r="38" spans="1:7" x14ac:dyDescent="0.35">
      <c r="A38" s="11">
        <v>44940.117118055554</v>
      </c>
      <c r="B38" s="12" t="s">
        <v>7</v>
      </c>
      <c r="C38" s="12" t="s">
        <v>21</v>
      </c>
      <c r="D38" s="12" t="s">
        <v>17</v>
      </c>
      <c r="E38" s="12">
        <v>5</v>
      </c>
      <c r="F38" s="12">
        <v>9967</v>
      </c>
      <c r="G38" s="13">
        <f>'Data File'!$F38*'Data File'!$E38</f>
        <v>49835</v>
      </c>
    </row>
    <row r="39" spans="1:7" x14ac:dyDescent="0.35">
      <c r="A39" s="14">
        <v>44940.481481481482</v>
      </c>
      <c r="B39" s="15" t="s">
        <v>13</v>
      </c>
      <c r="C39" s="15" t="s">
        <v>8</v>
      </c>
      <c r="D39" s="15" t="s">
        <v>18</v>
      </c>
      <c r="E39" s="15">
        <v>4</v>
      </c>
      <c r="F39" s="15">
        <v>25022</v>
      </c>
      <c r="G39" s="16">
        <f>'Data File'!$F39*'Data File'!$E39</f>
        <v>100088</v>
      </c>
    </row>
    <row r="40" spans="1:7" x14ac:dyDescent="0.35">
      <c r="A40" s="11">
        <v>44940.84584490741</v>
      </c>
      <c r="B40" s="12" t="s">
        <v>13</v>
      </c>
      <c r="C40" s="12" t="s">
        <v>9</v>
      </c>
      <c r="D40" s="12" t="s">
        <v>18</v>
      </c>
      <c r="E40" s="12">
        <v>6</v>
      </c>
      <c r="F40" s="12">
        <v>48463</v>
      </c>
      <c r="G40" s="13">
        <f>'Data File'!$F40*'Data File'!$E40</f>
        <v>290778</v>
      </c>
    </row>
    <row r="41" spans="1:7" x14ac:dyDescent="0.35">
      <c r="A41" s="14">
        <v>44941.21020833333</v>
      </c>
      <c r="B41" s="15" t="s">
        <v>6</v>
      </c>
      <c r="C41" s="15" t="s">
        <v>10</v>
      </c>
      <c r="D41" s="15" t="s">
        <v>16</v>
      </c>
      <c r="E41" s="15">
        <v>4</v>
      </c>
      <c r="F41" s="15">
        <v>10722</v>
      </c>
      <c r="G41" s="16">
        <f>'Data File'!$F41*'Data File'!$E41</f>
        <v>42888</v>
      </c>
    </row>
    <row r="42" spans="1:7" x14ac:dyDescent="0.35">
      <c r="A42" s="11">
        <v>44941.574571759258</v>
      </c>
      <c r="B42" s="12" t="s">
        <v>6</v>
      </c>
      <c r="C42" s="12" t="s">
        <v>8</v>
      </c>
      <c r="D42" s="12" t="s">
        <v>14</v>
      </c>
      <c r="E42" s="12">
        <v>7</v>
      </c>
      <c r="F42" s="12">
        <v>32413</v>
      </c>
      <c r="G42" s="13">
        <f>'Data File'!$F42*'Data File'!$E42</f>
        <v>226891</v>
      </c>
    </row>
    <row r="43" spans="1:7" x14ac:dyDescent="0.35">
      <c r="A43" s="14">
        <v>44941.938935185186</v>
      </c>
      <c r="B43" s="15" t="s">
        <v>6</v>
      </c>
      <c r="C43" s="15" t="s">
        <v>9</v>
      </c>
      <c r="D43" s="15" t="s">
        <v>16</v>
      </c>
      <c r="E43" s="15">
        <v>7</v>
      </c>
      <c r="F43" s="15">
        <v>71732</v>
      </c>
      <c r="G43" s="16">
        <f>'Data File'!$F43*'Data File'!$E43</f>
        <v>502124</v>
      </c>
    </row>
    <row r="44" spans="1:7" x14ac:dyDescent="0.35">
      <c r="A44" s="11">
        <v>44942.303298611114</v>
      </c>
      <c r="B44" s="12" t="s">
        <v>12</v>
      </c>
      <c r="C44" s="12" t="s">
        <v>9</v>
      </c>
      <c r="D44" s="12" t="s">
        <v>15</v>
      </c>
      <c r="E44" s="12">
        <v>18</v>
      </c>
      <c r="F44" s="12">
        <v>17297</v>
      </c>
      <c r="G44" s="13">
        <f>'Data File'!$F44*'Data File'!$E44</f>
        <v>311346</v>
      </c>
    </row>
    <row r="45" spans="1:7" x14ac:dyDescent="0.35">
      <c r="A45" s="14">
        <v>44942.667662037034</v>
      </c>
      <c r="B45" s="15" t="s">
        <v>7</v>
      </c>
      <c r="C45" s="15" t="s">
        <v>21</v>
      </c>
      <c r="D45" s="15" t="s">
        <v>19</v>
      </c>
      <c r="E45" s="15">
        <v>3</v>
      </c>
      <c r="F45" s="15">
        <v>73323</v>
      </c>
      <c r="G45" s="16">
        <f>'Data File'!$F45*'Data File'!$E45</f>
        <v>219969</v>
      </c>
    </row>
    <row r="46" spans="1:7" x14ac:dyDescent="0.35">
      <c r="A46" s="11">
        <v>44943.032037037039</v>
      </c>
      <c r="B46" s="12" t="s">
        <v>7</v>
      </c>
      <c r="C46" s="12" t="s">
        <v>9</v>
      </c>
      <c r="D46" s="12" t="s">
        <v>15</v>
      </c>
      <c r="E46" s="12">
        <v>1</v>
      </c>
      <c r="F46" s="12">
        <v>28816</v>
      </c>
      <c r="G46" s="13">
        <f>'Data File'!$F46*'Data File'!$E46</f>
        <v>28816</v>
      </c>
    </row>
    <row r="47" spans="1:7" x14ac:dyDescent="0.35">
      <c r="A47" s="14">
        <v>44943.39640046296</v>
      </c>
      <c r="B47" s="15" t="s">
        <v>7</v>
      </c>
      <c r="C47" s="15" t="s">
        <v>9</v>
      </c>
      <c r="D47" s="15" t="s">
        <v>17</v>
      </c>
      <c r="E47" s="15">
        <v>4</v>
      </c>
      <c r="F47" s="15">
        <v>45695</v>
      </c>
      <c r="G47" s="16">
        <f>'Data File'!$F47*'Data File'!$E47</f>
        <v>182780</v>
      </c>
    </row>
    <row r="48" spans="1:7" x14ac:dyDescent="0.35">
      <c r="A48" s="11">
        <v>44943.760763888888</v>
      </c>
      <c r="B48" s="12" t="s">
        <v>7</v>
      </c>
      <c r="C48" s="12" t="s">
        <v>9</v>
      </c>
      <c r="D48" s="12" t="s">
        <v>18</v>
      </c>
      <c r="E48" s="12">
        <v>6</v>
      </c>
      <c r="F48" s="12">
        <v>24702</v>
      </c>
      <c r="G48" s="13">
        <f>'Data File'!$F48*'Data File'!$E48</f>
        <v>148212</v>
      </c>
    </row>
    <row r="49" spans="1:7" x14ac:dyDescent="0.35">
      <c r="A49" s="14">
        <v>44944.125127314815</v>
      </c>
      <c r="B49" s="15" t="s">
        <v>6</v>
      </c>
      <c r="C49" s="15" t="s">
        <v>9</v>
      </c>
      <c r="D49" s="15" t="s">
        <v>16</v>
      </c>
      <c r="E49" s="15">
        <v>9</v>
      </c>
      <c r="F49" s="15">
        <v>30242</v>
      </c>
      <c r="G49" s="16">
        <f>'Data File'!$F49*'Data File'!$E49</f>
        <v>272178</v>
      </c>
    </row>
    <row r="50" spans="1:7" x14ac:dyDescent="0.35">
      <c r="A50" s="11">
        <v>44944.489490740743</v>
      </c>
      <c r="B50" s="12" t="s">
        <v>12</v>
      </c>
      <c r="C50" s="12" t="s">
        <v>11</v>
      </c>
      <c r="D50" s="12" t="s">
        <v>16</v>
      </c>
      <c r="E50" s="12">
        <v>14</v>
      </c>
      <c r="F50" s="12">
        <v>60841</v>
      </c>
      <c r="G50" s="13">
        <f>'Data File'!$F50*'Data File'!$E50</f>
        <v>851774</v>
      </c>
    </row>
    <row r="51" spans="1:7" x14ac:dyDescent="0.35">
      <c r="A51" s="14">
        <v>44944.853854166664</v>
      </c>
      <c r="B51" s="15" t="s">
        <v>12</v>
      </c>
      <c r="C51" s="15" t="s">
        <v>11</v>
      </c>
      <c r="D51" s="15" t="s">
        <v>16</v>
      </c>
      <c r="E51" s="15">
        <v>12</v>
      </c>
      <c r="F51" s="15">
        <v>72712</v>
      </c>
      <c r="G51" s="16">
        <f>'Data File'!$F51*'Data File'!$E51</f>
        <v>872544</v>
      </c>
    </row>
    <row r="52" spans="1:7" x14ac:dyDescent="0.35">
      <c r="A52" s="11">
        <v>44945.218217592592</v>
      </c>
      <c r="B52" s="12" t="s">
        <v>6</v>
      </c>
      <c r="C52" s="12" t="s">
        <v>21</v>
      </c>
      <c r="D52" s="12" t="s">
        <v>15</v>
      </c>
      <c r="E52" s="12">
        <v>4</v>
      </c>
      <c r="F52" s="12">
        <v>58574</v>
      </c>
      <c r="G52" s="13">
        <f>'Data File'!$F52*'Data File'!$E52</f>
        <v>234296</v>
      </c>
    </row>
    <row r="53" spans="1:7" x14ac:dyDescent="0.35">
      <c r="A53" s="14">
        <v>44945.58258101852</v>
      </c>
      <c r="B53" s="15" t="s">
        <v>12</v>
      </c>
      <c r="C53" s="15" t="s">
        <v>8</v>
      </c>
      <c r="D53" s="15" t="s">
        <v>18</v>
      </c>
      <c r="E53" s="15">
        <v>12</v>
      </c>
      <c r="F53" s="15">
        <v>33482</v>
      </c>
      <c r="G53" s="16">
        <f>'Data File'!$F53*'Data File'!$E53</f>
        <v>401784</v>
      </c>
    </row>
    <row r="54" spans="1:7" x14ac:dyDescent="0.35">
      <c r="A54" s="11">
        <v>44945.946944444448</v>
      </c>
      <c r="B54" s="12" t="s">
        <v>6</v>
      </c>
      <c r="C54" s="12" t="s">
        <v>9</v>
      </c>
      <c r="D54" s="12" t="s">
        <v>19</v>
      </c>
      <c r="E54" s="12">
        <v>10</v>
      </c>
      <c r="F54" s="12">
        <v>14171</v>
      </c>
      <c r="G54" s="13">
        <f>'Data File'!$F54*'Data File'!$E54</f>
        <v>141710</v>
      </c>
    </row>
    <row r="55" spans="1:7" x14ac:dyDescent="0.35">
      <c r="A55" s="14">
        <v>44946.311307870368</v>
      </c>
      <c r="B55" s="15" t="s">
        <v>7</v>
      </c>
      <c r="C55" s="15" t="s">
        <v>8</v>
      </c>
      <c r="D55" s="15" t="s">
        <v>17</v>
      </c>
      <c r="E55" s="15">
        <v>7</v>
      </c>
      <c r="F55" s="15">
        <v>8696</v>
      </c>
      <c r="G55" s="16">
        <f>'Data File'!$F55*'Data File'!$E55</f>
        <v>60872</v>
      </c>
    </row>
    <row r="56" spans="1:7" x14ac:dyDescent="0.35">
      <c r="A56" s="11">
        <v>44946.675671296296</v>
      </c>
      <c r="B56" s="12" t="s">
        <v>6</v>
      </c>
      <c r="C56" s="12" t="s">
        <v>8</v>
      </c>
      <c r="D56" s="12" t="s">
        <v>19</v>
      </c>
      <c r="E56" s="12">
        <v>3</v>
      </c>
      <c r="F56" s="12">
        <v>25058</v>
      </c>
      <c r="G56" s="13">
        <f>'Data File'!$F56*'Data File'!$E56</f>
        <v>75174</v>
      </c>
    </row>
    <row r="57" spans="1:7" x14ac:dyDescent="0.35">
      <c r="A57" s="14">
        <v>44947.040034722224</v>
      </c>
      <c r="B57" s="15" t="s">
        <v>7</v>
      </c>
      <c r="C57" s="15" t="s">
        <v>21</v>
      </c>
      <c r="D57" s="15" t="s">
        <v>15</v>
      </c>
      <c r="E57" s="15">
        <v>14</v>
      </c>
      <c r="F57" s="15">
        <v>25313</v>
      </c>
      <c r="G57" s="16">
        <f>'Data File'!$F57*'Data File'!$E57</f>
        <v>354382</v>
      </c>
    </row>
    <row r="58" spans="1:7" x14ac:dyDescent="0.35">
      <c r="A58" s="11">
        <v>44947.404409722221</v>
      </c>
      <c r="B58" s="12" t="s">
        <v>7</v>
      </c>
      <c r="C58" s="12" t="s">
        <v>9</v>
      </c>
      <c r="D58" s="12" t="s">
        <v>17</v>
      </c>
      <c r="E58" s="12">
        <v>10</v>
      </c>
      <c r="F58" s="12">
        <v>24149</v>
      </c>
      <c r="G58" s="13">
        <f>'Data File'!$F58*'Data File'!$E58</f>
        <v>241490</v>
      </c>
    </row>
    <row r="59" spans="1:7" x14ac:dyDescent="0.35">
      <c r="A59" s="14">
        <v>44947.768773148149</v>
      </c>
      <c r="B59" s="15" t="s">
        <v>13</v>
      </c>
      <c r="C59" s="15" t="s">
        <v>9</v>
      </c>
      <c r="D59" s="15" t="s">
        <v>16</v>
      </c>
      <c r="E59" s="15">
        <v>16</v>
      </c>
      <c r="F59" s="15">
        <v>58521</v>
      </c>
      <c r="G59" s="16">
        <f>'Data File'!$F59*'Data File'!$E59</f>
        <v>936336</v>
      </c>
    </row>
    <row r="60" spans="1:7" x14ac:dyDescent="0.35">
      <c r="A60" s="11">
        <v>44948.133136574077</v>
      </c>
      <c r="B60" s="12" t="s">
        <v>6</v>
      </c>
      <c r="C60" s="12" t="s">
        <v>10</v>
      </c>
      <c r="D60" s="12" t="s">
        <v>14</v>
      </c>
      <c r="E60" s="12">
        <v>16</v>
      </c>
      <c r="F60" s="12">
        <v>50740</v>
      </c>
      <c r="G60" s="13">
        <f>'Data File'!$F60*'Data File'!$E60</f>
        <v>811840</v>
      </c>
    </row>
    <row r="61" spans="1:7" x14ac:dyDescent="0.35">
      <c r="A61" s="14">
        <v>44948.497499999998</v>
      </c>
      <c r="B61" s="15" t="s">
        <v>13</v>
      </c>
      <c r="C61" s="15" t="s">
        <v>8</v>
      </c>
      <c r="D61" s="15" t="s">
        <v>15</v>
      </c>
      <c r="E61" s="15">
        <v>10</v>
      </c>
      <c r="F61" s="15">
        <v>9956</v>
      </c>
      <c r="G61" s="16">
        <f>'Data File'!$F61*'Data File'!$E61</f>
        <v>99560</v>
      </c>
    </row>
    <row r="62" spans="1:7" x14ac:dyDescent="0.35">
      <c r="A62" s="11">
        <v>44948.861863425926</v>
      </c>
      <c r="B62" s="12" t="s">
        <v>6</v>
      </c>
      <c r="C62" s="12" t="s">
        <v>8</v>
      </c>
      <c r="D62" s="12" t="s">
        <v>15</v>
      </c>
      <c r="E62" s="12">
        <v>13</v>
      </c>
      <c r="F62" s="12">
        <v>71641</v>
      </c>
      <c r="G62" s="13">
        <f>'Data File'!$F62*'Data File'!$E62</f>
        <v>931333</v>
      </c>
    </row>
    <row r="63" spans="1:7" x14ac:dyDescent="0.35">
      <c r="A63" s="14">
        <v>44949.226226851853</v>
      </c>
      <c r="B63" s="15" t="s">
        <v>6</v>
      </c>
      <c r="C63" s="15" t="s">
        <v>11</v>
      </c>
      <c r="D63" s="15" t="s">
        <v>18</v>
      </c>
      <c r="E63" s="15">
        <v>6</v>
      </c>
      <c r="F63" s="15">
        <v>68811</v>
      </c>
      <c r="G63" s="16">
        <f>'Data File'!$F63*'Data File'!$E63</f>
        <v>412866</v>
      </c>
    </row>
    <row r="64" spans="1:7" x14ac:dyDescent="0.35">
      <c r="A64" s="11">
        <v>44949.590590277781</v>
      </c>
      <c r="B64" s="12" t="s">
        <v>13</v>
      </c>
      <c r="C64" s="12" t="s">
        <v>10</v>
      </c>
      <c r="D64" s="12" t="s">
        <v>19</v>
      </c>
      <c r="E64" s="12">
        <v>12</v>
      </c>
      <c r="F64" s="12">
        <v>57160</v>
      </c>
      <c r="G64" s="13">
        <f>'Data File'!$F64*'Data File'!$E64</f>
        <v>685920</v>
      </c>
    </row>
    <row r="65" spans="1:7" x14ac:dyDescent="0.35">
      <c r="A65" s="14">
        <v>44949.954953703702</v>
      </c>
      <c r="B65" s="15" t="s">
        <v>13</v>
      </c>
      <c r="C65" s="15" t="s">
        <v>11</v>
      </c>
      <c r="D65" s="15" t="s">
        <v>15</v>
      </c>
      <c r="E65" s="15">
        <v>9</v>
      </c>
      <c r="F65" s="15">
        <v>56313</v>
      </c>
      <c r="G65" s="16">
        <f>'Data File'!$F65*'Data File'!$E65</f>
        <v>506817</v>
      </c>
    </row>
    <row r="66" spans="1:7" x14ac:dyDescent="0.35">
      <c r="A66" s="11">
        <v>44950.31931712963</v>
      </c>
      <c r="B66" s="12" t="s">
        <v>6</v>
      </c>
      <c r="C66" s="12" t="s">
        <v>11</v>
      </c>
      <c r="D66" s="12" t="s">
        <v>15</v>
      </c>
      <c r="E66" s="12">
        <v>13</v>
      </c>
      <c r="F66" s="12">
        <v>68232</v>
      </c>
      <c r="G66" s="13">
        <f>'Data File'!$F66*'Data File'!$E66</f>
        <v>887016</v>
      </c>
    </row>
    <row r="67" spans="1:7" x14ac:dyDescent="0.35">
      <c r="A67" s="14">
        <v>44950.683680555558</v>
      </c>
      <c r="B67" s="15" t="s">
        <v>12</v>
      </c>
      <c r="C67" s="15" t="s">
        <v>11</v>
      </c>
      <c r="D67" s="15" t="s">
        <v>16</v>
      </c>
      <c r="E67" s="15">
        <v>4</v>
      </c>
      <c r="F67" s="15">
        <v>20417</v>
      </c>
      <c r="G67" s="16">
        <f>'Data File'!$F67*'Data File'!$E67</f>
        <v>81668</v>
      </c>
    </row>
    <row r="68" spans="1:7" x14ac:dyDescent="0.35">
      <c r="A68" s="11">
        <v>44951.048043981478</v>
      </c>
      <c r="B68" s="12" t="s">
        <v>7</v>
      </c>
      <c r="C68" s="12" t="s">
        <v>21</v>
      </c>
      <c r="D68" s="12" t="s">
        <v>16</v>
      </c>
      <c r="E68" s="12">
        <v>11</v>
      </c>
      <c r="F68" s="12">
        <v>29729</v>
      </c>
      <c r="G68" s="13">
        <f>'Data File'!$F68*'Data File'!$E68</f>
        <v>327019</v>
      </c>
    </row>
    <row r="69" spans="1:7" x14ac:dyDescent="0.35">
      <c r="A69" s="14">
        <v>44951.412407407406</v>
      </c>
      <c r="B69" s="15" t="s">
        <v>13</v>
      </c>
      <c r="C69" s="15" t="s">
        <v>21</v>
      </c>
      <c r="D69" s="15" t="s">
        <v>17</v>
      </c>
      <c r="E69" s="15">
        <v>18</v>
      </c>
      <c r="F69" s="15">
        <v>35099</v>
      </c>
      <c r="G69" s="16">
        <f>'Data File'!$F69*'Data File'!$E69</f>
        <v>631782</v>
      </c>
    </row>
    <row r="70" spans="1:7" x14ac:dyDescent="0.35">
      <c r="A70" s="11">
        <v>44951.776782407411</v>
      </c>
      <c r="B70" s="12" t="s">
        <v>7</v>
      </c>
      <c r="C70" s="12" t="s">
        <v>11</v>
      </c>
      <c r="D70" s="12" t="s">
        <v>14</v>
      </c>
      <c r="E70" s="12">
        <v>11</v>
      </c>
      <c r="F70" s="12">
        <v>34961</v>
      </c>
      <c r="G70" s="13">
        <f>'Data File'!$F70*'Data File'!$E70</f>
        <v>384571</v>
      </c>
    </row>
    <row r="71" spans="1:7" x14ac:dyDescent="0.35">
      <c r="A71" s="14">
        <v>44952.141145833331</v>
      </c>
      <c r="B71" s="15" t="s">
        <v>12</v>
      </c>
      <c r="C71" s="15" t="s">
        <v>10</v>
      </c>
      <c r="D71" s="15" t="s">
        <v>18</v>
      </c>
      <c r="E71" s="15">
        <v>4</v>
      </c>
      <c r="F71" s="15">
        <v>17602</v>
      </c>
      <c r="G71" s="16">
        <f>'Data File'!$F71*'Data File'!$E71</f>
        <v>70408</v>
      </c>
    </row>
    <row r="72" spans="1:7" x14ac:dyDescent="0.35">
      <c r="A72" s="11">
        <v>44952.505509259259</v>
      </c>
      <c r="B72" s="12" t="s">
        <v>12</v>
      </c>
      <c r="C72" s="12" t="s">
        <v>8</v>
      </c>
      <c r="D72" s="12" t="s">
        <v>14</v>
      </c>
      <c r="E72" s="12">
        <v>18</v>
      </c>
      <c r="F72" s="12">
        <v>14256</v>
      </c>
      <c r="G72" s="13">
        <f>'Data File'!$F72*'Data File'!$E72</f>
        <v>256608</v>
      </c>
    </row>
    <row r="73" spans="1:7" x14ac:dyDescent="0.35">
      <c r="A73" s="14">
        <v>44952.869872685187</v>
      </c>
      <c r="B73" s="15" t="s">
        <v>12</v>
      </c>
      <c r="C73" s="15" t="s">
        <v>10</v>
      </c>
      <c r="D73" s="15" t="s">
        <v>17</v>
      </c>
      <c r="E73" s="15">
        <v>1</v>
      </c>
      <c r="F73" s="15">
        <v>39681</v>
      </c>
      <c r="G73" s="16">
        <f>'Data File'!$F73*'Data File'!$E73</f>
        <v>39681</v>
      </c>
    </row>
    <row r="74" spans="1:7" x14ac:dyDescent="0.35">
      <c r="A74" s="11">
        <v>44953.234236111108</v>
      </c>
      <c r="B74" s="12" t="s">
        <v>13</v>
      </c>
      <c r="C74" s="12" t="s">
        <v>9</v>
      </c>
      <c r="D74" s="12" t="s">
        <v>16</v>
      </c>
      <c r="E74" s="12">
        <v>7</v>
      </c>
      <c r="F74" s="12">
        <v>69789</v>
      </c>
      <c r="G74" s="13">
        <f>'Data File'!$F74*'Data File'!$E74</f>
        <v>488523</v>
      </c>
    </row>
    <row r="75" spans="1:7" x14ac:dyDescent="0.35">
      <c r="A75" s="14">
        <v>44953.598599537036</v>
      </c>
      <c r="B75" s="15" t="s">
        <v>12</v>
      </c>
      <c r="C75" s="15" t="s">
        <v>21</v>
      </c>
      <c r="D75" s="15" t="s">
        <v>19</v>
      </c>
      <c r="E75" s="15">
        <v>6</v>
      </c>
      <c r="F75" s="15">
        <v>48361</v>
      </c>
      <c r="G75" s="16">
        <f>'Data File'!$F75*'Data File'!$E75</f>
        <v>290166</v>
      </c>
    </row>
    <row r="76" spans="1:7" x14ac:dyDescent="0.35">
      <c r="A76" s="11">
        <v>44953.962962962964</v>
      </c>
      <c r="B76" s="12" t="s">
        <v>13</v>
      </c>
      <c r="C76" s="12" t="s">
        <v>8</v>
      </c>
      <c r="D76" s="12" t="s">
        <v>16</v>
      </c>
      <c r="E76" s="12">
        <v>15</v>
      </c>
      <c r="F76" s="12">
        <v>69503</v>
      </c>
      <c r="G76" s="13">
        <f>'Data File'!$F76*'Data File'!$E76</f>
        <v>1042545</v>
      </c>
    </row>
    <row r="77" spans="1:7" x14ac:dyDescent="0.35">
      <c r="A77" s="14">
        <v>44954.327326388891</v>
      </c>
      <c r="B77" s="15" t="s">
        <v>12</v>
      </c>
      <c r="C77" s="15" t="s">
        <v>8</v>
      </c>
      <c r="D77" s="15" t="s">
        <v>18</v>
      </c>
      <c r="E77" s="15">
        <v>18</v>
      </c>
      <c r="F77" s="15">
        <v>39540</v>
      </c>
      <c r="G77" s="16">
        <f>'Data File'!$F77*'Data File'!$E77</f>
        <v>711720</v>
      </c>
    </row>
    <row r="78" spans="1:7" x14ac:dyDescent="0.35">
      <c r="A78" s="11">
        <v>44954.691689814812</v>
      </c>
      <c r="B78" s="12" t="s">
        <v>7</v>
      </c>
      <c r="C78" s="12" t="s">
        <v>9</v>
      </c>
      <c r="D78" s="12" t="s">
        <v>16</v>
      </c>
      <c r="E78" s="12">
        <v>11</v>
      </c>
      <c r="F78" s="12">
        <v>31536</v>
      </c>
      <c r="G78" s="13">
        <f>'Data File'!$F78*'Data File'!$E78</f>
        <v>346896</v>
      </c>
    </row>
    <row r="79" spans="1:7" x14ac:dyDescent="0.35">
      <c r="A79" s="14">
        <v>44955.05605324074</v>
      </c>
      <c r="B79" s="15" t="s">
        <v>7</v>
      </c>
      <c r="C79" s="15" t="s">
        <v>9</v>
      </c>
      <c r="D79" s="15" t="s">
        <v>18</v>
      </c>
      <c r="E79" s="15">
        <v>15</v>
      </c>
      <c r="F79" s="15">
        <v>68043</v>
      </c>
      <c r="G79" s="16">
        <f>'Data File'!$F79*'Data File'!$E79</f>
        <v>1020645</v>
      </c>
    </row>
    <row r="80" spans="1:7" x14ac:dyDescent="0.35">
      <c r="A80" s="11">
        <v>44955.420416666668</v>
      </c>
      <c r="B80" s="12" t="s">
        <v>6</v>
      </c>
      <c r="C80" s="12" t="s">
        <v>11</v>
      </c>
      <c r="D80" s="12" t="s">
        <v>18</v>
      </c>
      <c r="E80" s="12">
        <v>16</v>
      </c>
      <c r="F80" s="12">
        <v>61575</v>
      </c>
      <c r="G80" s="13">
        <f>'Data File'!$F80*'Data File'!$E80</f>
        <v>985200</v>
      </c>
    </row>
    <row r="81" spans="1:7" x14ac:dyDescent="0.35">
      <c r="A81" s="14">
        <v>44955.784780092596</v>
      </c>
      <c r="B81" s="15" t="s">
        <v>7</v>
      </c>
      <c r="C81" s="15" t="s">
        <v>21</v>
      </c>
      <c r="D81" s="15" t="s">
        <v>18</v>
      </c>
      <c r="E81" s="15">
        <v>7</v>
      </c>
      <c r="F81" s="15">
        <v>7871</v>
      </c>
      <c r="G81" s="16">
        <f>'Data File'!$F81*'Data File'!$E81</f>
        <v>55097</v>
      </c>
    </row>
    <row r="82" spans="1:7" x14ac:dyDescent="0.35">
      <c r="A82" s="11">
        <v>44956.149143518516</v>
      </c>
      <c r="B82" s="12" t="s">
        <v>6</v>
      </c>
      <c r="C82" s="12" t="s">
        <v>21</v>
      </c>
      <c r="D82" s="12" t="s">
        <v>17</v>
      </c>
      <c r="E82" s="12">
        <v>10</v>
      </c>
      <c r="F82" s="12">
        <v>51002</v>
      </c>
      <c r="G82" s="13">
        <f>'Data File'!$F82*'Data File'!$E82</f>
        <v>510020</v>
      </c>
    </row>
    <row r="83" spans="1:7" x14ac:dyDescent="0.35">
      <c r="A83" s="14">
        <v>44956.513518518521</v>
      </c>
      <c r="B83" s="15" t="s">
        <v>7</v>
      </c>
      <c r="C83" s="15" t="s">
        <v>10</v>
      </c>
      <c r="D83" s="15" t="s">
        <v>18</v>
      </c>
      <c r="E83" s="15">
        <v>12</v>
      </c>
      <c r="F83" s="15">
        <v>54812</v>
      </c>
      <c r="G83" s="16">
        <f>'Data File'!$F83*'Data File'!$E83</f>
        <v>657744</v>
      </c>
    </row>
    <row r="84" spans="1:7" x14ac:dyDescent="0.35">
      <c r="A84" s="11">
        <v>44956.877881944441</v>
      </c>
      <c r="B84" s="12" t="s">
        <v>13</v>
      </c>
      <c r="C84" s="12" t="s">
        <v>11</v>
      </c>
      <c r="D84" s="12" t="s">
        <v>18</v>
      </c>
      <c r="E84" s="12">
        <v>14</v>
      </c>
      <c r="F84" s="12">
        <v>27626</v>
      </c>
      <c r="G84" s="13">
        <f>'Data File'!$F84*'Data File'!$E84</f>
        <v>386764</v>
      </c>
    </row>
    <row r="85" spans="1:7" x14ac:dyDescent="0.35">
      <c r="A85" s="14">
        <v>44957.242245370369</v>
      </c>
      <c r="B85" s="15" t="s">
        <v>7</v>
      </c>
      <c r="C85" s="15" t="s">
        <v>11</v>
      </c>
      <c r="D85" s="15" t="s">
        <v>19</v>
      </c>
      <c r="E85" s="15">
        <v>5</v>
      </c>
      <c r="F85" s="15">
        <v>64979</v>
      </c>
      <c r="G85" s="16">
        <f>'Data File'!$F85*'Data File'!$E85</f>
        <v>324895</v>
      </c>
    </row>
    <row r="86" spans="1:7" x14ac:dyDescent="0.35">
      <c r="A86" s="11">
        <v>44957.606608796297</v>
      </c>
      <c r="B86" s="12" t="s">
        <v>6</v>
      </c>
      <c r="C86" s="12" t="s">
        <v>11</v>
      </c>
      <c r="D86" s="12" t="s">
        <v>14</v>
      </c>
      <c r="E86" s="12">
        <v>18</v>
      </c>
      <c r="F86" s="12">
        <v>71668</v>
      </c>
      <c r="G86" s="13">
        <f>'Data File'!$F86*'Data File'!$E86</f>
        <v>1290024</v>
      </c>
    </row>
    <row r="87" spans="1:7" x14ac:dyDescent="0.35">
      <c r="A87" s="14">
        <v>44957.970972222225</v>
      </c>
      <c r="B87" s="15" t="s">
        <v>6</v>
      </c>
      <c r="C87" s="15" t="s">
        <v>11</v>
      </c>
      <c r="D87" s="15" t="s">
        <v>15</v>
      </c>
      <c r="E87" s="15">
        <v>5</v>
      </c>
      <c r="F87" s="15">
        <v>47998</v>
      </c>
      <c r="G87" s="16">
        <f>'Data File'!$F87*'Data File'!$E87</f>
        <v>239990</v>
      </c>
    </row>
    <row r="88" spans="1:7" x14ac:dyDescent="0.35">
      <c r="A88" s="11">
        <v>44958.335335648146</v>
      </c>
      <c r="B88" s="12" t="s">
        <v>12</v>
      </c>
      <c r="C88" s="12" t="s">
        <v>21</v>
      </c>
      <c r="D88" s="12" t="s">
        <v>14</v>
      </c>
      <c r="E88" s="12">
        <v>3</v>
      </c>
      <c r="F88" s="12">
        <v>68814</v>
      </c>
      <c r="G88" s="13">
        <f>'Data File'!$F88*'Data File'!$E88</f>
        <v>206442</v>
      </c>
    </row>
    <row r="89" spans="1:7" x14ac:dyDescent="0.35">
      <c r="A89" s="14">
        <v>44958.699699074074</v>
      </c>
      <c r="B89" s="15" t="s">
        <v>13</v>
      </c>
      <c r="C89" s="15" t="s">
        <v>21</v>
      </c>
      <c r="D89" s="15" t="s">
        <v>18</v>
      </c>
      <c r="E89" s="15">
        <v>5</v>
      </c>
      <c r="F89" s="15">
        <v>50607</v>
      </c>
      <c r="G89" s="16">
        <f>'Data File'!$F89*'Data File'!$E89</f>
        <v>253035</v>
      </c>
    </row>
    <row r="90" spans="1:7" x14ac:dyDescent="0.35">
      <c r="A90" s="11">
        <v>44959.064062500001</v>
      </c>
      <c r="B90" s="12" t="s">
        <v>7</v>
      </c>
      <c r="C90" s="12" t="s">
        <v>11</v>
      </c>
      <c r="D90" s="12" t="s">
        <v>19</v>
      </c>
      <c r="E90" s="12">
        <v>17</v>
      </c>
      <c r="F90" s="12">
        <v>12812</v>
      </c>
      <c r="G90" s="13">
        <f>'Data File'!$F90*'Data File'!$E90</f>
        <v>217804</v>
      </c>
    </row>
    <row r="91" spans="1:7" x14ac:dyDescent="0.35">
      <c r="A91" s="14">
        <v>44959.428425925929</v>
      </c>
      <c r="B91" s="15" t="s">
        <v>12</v>
      </c>
      <c r="C91" s="15" t="s">
        <v>10</v>
      </c>
      <c r="D91" s="15" t="s">
        <v>16</v>
      </c>
      <c r="E91" s="15">
        <v>19</v>
      </c>
      <c r="F91" s="15">
        <v>66844</v>
      </c>
      <c r="G91" s="16">
        <f>'Data File'!$F91*'Data File'!$E91</f>
        <v>1270036</v>
      </c>
    </row>
    <row r="92" spans="1:7" x14ac:dyDescent="0.35">
      <c r="A92" s="11">
        <v>44959.79278935185</v>
      </c>
      <c r="B92" s="12" t="s">
        <v>7</v>
      </c>
      <c r="C92" s="12" t="s">
        <v>8</v>
      </c>
      <c r="D92" s="12" t="s">
        <v>19</v>
      </c>
      <c r="E92" s="12">
        <v>19</v>
      </c>
      <c r="F92" s="12">
        <v>7179</v>
      </c>
      <c r="G92" s="13">
        <f>'Data File'!$F92*'Data File'!$E92</f>
        <v>136401</v>
      </c>
    </row>
    <row r="93" spans="1:7" x14ac:dyDescent="0.35">
      <c r="A93" s="14">
        <v>44960.157152777778</v>
      </c>
      <c r="B93" s="15" t="s">
        <v>7</v>
      </c>
      <c r="C93" s="15" t="s">
        <v>8</v>
      </c>
      <c r="D93" s="15" t="s">
        <v>18</v>
      </c>
      <c r="E93" s="15">
        <v>12</v>
      </c>
      <c r="F93" s="15">
        <v>48798</v>
      </c>
      <c r="G93" s="16">
        <f>'Data File'!$F93*'Data File'!$E93</f>
        <v>585576</v>
      </c>
    </row>
    <row r="94" spans="1:7" x14ac:dyDescent="0.35">
      <c r="A94" s="11">
        <v>44960.521516203706</v>
      </c>
      <c r="B94" s="12" t="s">
        <v>12</v>
      </c>
      <c r="C94" s="12" t="s">
        <v>10</v>
      </c>
      <c r="D94" s="12" t="s">
        <v>19</v>
      </c>
      <c r="E94" s="12">
        <v>9</v>
      </c>
      <c r="F94" s="12">
        <v>13275</v>
      </c>
      <c r="G94" s="13">
        <f>'Data File'!$F94*'Data File'!$E94</f>
        <v>119475</v>
      </c>
    </row>
    <row r="95" spans="1:7" x14ac:dyDescent="0.35">
      <c r="A95" s="14">
        <v>44960.885891203703</v>
      </c>
      <c r="B95" s="15" t="s">
        <v>12</v>
      </c>
      <c r="C95" s="15" t="s">
        <v>11</v>
      </c>
      <c r="D95" s="15" t="s">
        <v>19</v>
      </c>
      <c r="E95" s="15">
        <v>1</v>
      </c>
      <c r="F95" s="15">
        <v>55574</v>
      </c>
      <c r="G95" s="16">
        <f>'Data File'!$F95*'Data File'!$E95</f>
        <v>55574</v>
      </c>
    </row>
    <row r="96" spans="1:7" x14ac:dyDescent="0.35">
      <c r="A96" s="11">
        <v>44961.250254629631</v>
      </c>
      <c r="B96" s="12" t="s">
        <v>12</v>
      </c>
      <c r="C96" s="12" t="s">
        <v>21</v>
      </c>
      <c r="D96" s="12" t="s">
        <v>18</v>
      </c>
      <c r="E96" s="12">
        <v>18</v>
      </c>
      <c r="F96" s="12">
        <v>52857</v>
      </c>
      <c r="G96" s="13">
        <f>'Data File'!$F96*'Data File'!$E96</f>
        <v>951426</v>
      </c>
    </row>
    <row r="97" spans="1:7" x14ac:dyDescent="0.35">
      <c r="A97" s="14">
        <v>44961.614618055559</v>
      </c>
      <c r="B97" s="15" t="s">
        <v>12</v>
      </c>
      <c r="C97" s="15" t="s">
        <v>8</v>
      </c>
      <c r="D97" s="15" t="s">
        <v>17</v>
      </c>
      <c r="E97" s="15">
        <v>4</v>
      </c>
      <c r="F97" s="15">
        <v>25700</v>
      </c>
      <c r="G97" s="16">
        <f>'Data File'!$F97*'Data File'!$E97</f>
        <v>102800</v>
      </c>
    </row>
    <row r="98" spans="1:7" x14ac:dyDescent="0.35">
      <c r="A98" s="11">
        <v>44961.978981481479</v>
      </c>
      <c r="B98" s="12" t="s">
        <v>12</v>
      </c>
      <c r="C98" s="12" t="s">
        <v>9</v>
      </c>
      <c r="D98" s="12" t="s">
        <v>19</v>
      </c>
      <c r="E98" s="12">
        <v>10</v>
      </c>
      <c r="F98" s="12">
        <v>44464</v>
      </c>
      <c r="G98" s="13">
        <f>'Data File'!$F98*'Data File'!$E98</f>
        <v>444640</v>
      </c>
    </row>
    <row r="99" spans="1:7" x14ac:dyDescent="0.35">
      <c r="A99" s="14">
        <v>44962.343344907407</v>
      </c>
      <c r="B99" s="15" t="s">
        <v>7</v>
      </c>
      <c r="C99" s="15" t="s">
        <v>9</v>
      </c>
      <c r="D99" s="15" t="s">
        <v>15</v>
      </c>
      <c r="E99" s="15">
        <v>7</v>
      </c>
      <c r="F99" s="15">
        <v>47351</v>
      </c>
      <c r="G99" s="16">
        <f>'Data File'!$F99*'Data File'!$E99</f>
        <v>331457</v>
      </c>
    </row>
    <row r="100" spans="1:7" x14ac:dyDescent="0.35">
      <c r="A100" s="11">
        <v>44962.707708333335</v>
      </c>
      <c r="B100" s="12" t="s">
        <v>12</v>
      </c>
      <c r="C100" s="12" t="s">
        <v>10</v>
      </c>
      <c r="D100" s="12" t="s">
        <v>15</v>
      </c>
      <c r="E100" s="12">
        <v>1</v>
      </c>
      <c r="F100" s="12">
        <v>18869</v>
      </c>
      <c r="G100" s="13">
        <f>'Data File'!$F100*'Data File'!$E100</f>
        <v>18869</v>
      </c>
    </row>
    <row r="101" spans="1:7" x14ac:dyDescent="0.35">
      <c r="A101" s="14">
        <v>44963.072071759256</v>
      </c>
      <c r="B101" s="15" t="s">
        <v>13</v>
      </c>
      <c r="C101" s="15" t="s">
        <v>11</v>
      </c>
      <c r="D101" s="15" t="s">
        <v>19</v>
      </c>
      <c r="E101" s="15">
        <v>17</v>
      </c>
      <c r="F101" s="15">
        <v>65315</v>
      </c>
      <c r="G101" s="16">
        <f>'Data File'!$F101*'Data File'!$E101</f>
        <v>1110355</v>
      </c>
    </row>
    <row r="102" spans="1:7" x14ac:dyDescent="0.35">
      <c r="A102" s="11">
        <v>44963.436435185184</v>
      </c>
      <c r="B102" s="12" t="s">
        <v>6</v>
      </c>
      <c r="C102" s="12" t="s">
        <v>8</v>
      </c>
      <c r="D102" s="12" t="s">
        <v>17</v>
      </c>
      <c r="E102" s="12">
        <v>2</v>
      </c>
      <c r="F102" s="12">
        <v>25954</v>
      </c>
      <c r="G102" s="13">
        <f>'Data File'!$F102*'Data File'!$E102</f>
        <v>51908</v>
      </c>
    </row>
    <row r="103" spans="1:7" x14ac:dyDescent="0.35">
      <c r="A103" s="14">
        <v>44963.800798611112</v>
      </c>
      <c r="B103" s="15" t="s">
        <v>12</v>
      </c>
      <c r="C103" s="15" t="s">
        <v>11</v>
      </c>
      <c r="D103" s="15" t="s">
        <v>16</v>
      </c>
      <c r="E103" s="15">
        <v>11</v>
      </c>
      <c r="F103" s="15">
        <v>36555</v>
      </c>
      <c r="G103" s="16">
        <f>'Data File'!$F103*'Data File'!$E103</f>
        <v>402105</v>
      </c>
    </row>
    <row r="104" spans="1:7" x14ac:dyDescent="0.35">
      <c r="A104" s="11">
        <v>44964.165162037039</v>
      </c>
      <c r="B104" s="12" t="s">
        <v>12</v>
      </c>
      <c r="C104" s="12" t="s">
        <v>8</v>
      </c>
      <c r="D104" s="12" t="s">
        <v>18</v>
      </c>
      <c r="E104" s="12">
        <v>9</v>
      </c>
      <c r="F104" s="12">
        <v>68353</v>
      </c>
      <c r="G104" s="13">
        <f>'Data File'!$F104*'Data File'!$E104</f>
        <v>615177</v>
      </c>
    </row>
    <row r="105" spans="1:7" x14ac:dyDescent="0.35">
      <c r="A105" s="14">
        <v>44964.52952546296</v>
      </c>
      <c r="B105" s="15" t="s">
        <v>7</v>
      </c>
      <c r="C105" s="15" t="s">
        <v>10</v>
      </c>
      <c r="D105" s="15" t="s">
        <v>15</v>
      </c>
      <c r="E105" s="15">
        <v>7</v>
      </c>
      <c r="F105" s="15">
        <v>50026</v>
      </c>
      <c r="G105" s="16">
        <f>'Data File'!$F105*'Data File'!$E105</f>
        <v>350182</v>
      </c>
    </row>
    <row r="106" spans="1:7" x14ac:dyDescent="0.35">
      <c r="A106" s="11">
        <v>44964.893888888888</v>
      </c>
      <c r="B106" s="12" t="s">
        <v>12</v>
      </c>
      <c r="C106" s="12" t="s">
        <v>10</v>
      </c>
      <c r="D106" s="12" t="s">
        <v>16</v>
      </c>
      <c r="E106" s="12">
        <v>17</v>
      </c>
      <c r="F106" s="12">
        <v>51976</v>
      </c>
      <c r="G106" s="13">
        <f>'Data File'!$F106*'Data File'!$E106</f>
        <v>883592</v>
      </c>
    </row>
    <row r="107" spans="1:7" x14ac:dyDescent="0.35">
      <c r="A107" s="14">
        <v>44965.258263888885</v>
      </c>
      <c r="B107" s="15" t="s">
        <v>12</v>
      </c>
      <c r="C107" s="15" t="s">
        <v>9</v>
      </c>
      <c r="D107" s="15" t="s">
        <v>19</v>
      </c>
      <c r="E107" s="15">
        <v>17</v>
      </c>
      <c r="F107" s="15">
        <v>50095</v>
      </c>
      <c r="G107" s="16">
        <f>'Data File'!$F107*'Data File'!$E107</f>
        <v>851615</v>
      </c>
    </row>
    <row r="108" spans="1:7" x14ac:dyDescent="0.35">
      <c r="A108" s="11">
        <v>44965.622627314813</v>
      </c>
      <c r="B108" s="12" t="s">
        <v>12</v>
      </c>
      <c r="C108" s="12" t="s">
        <v>11</v>
      </c>
      <c r="D108" s="12" t="s">
        <v>16</v>
      </c>
      <c r="E108" s="12">
        <v>2</v>
      </c>
      <c r="F108" s="12">
        <v>19270</v>
      </c>
      <c r="G108" s="13">
        <f>'Data File'!$F108*'Data File'!$E108</f>
        <v>38540</v>
      </c>
    </row>
    <row r="109" spans="1:7" x14ac:dyDescent="0.35">
      <c r="A109" s="14">
        <v>44965.986990740741</v>
      </c>
      <c r="B109" s="15" t="s">
        <v>7</v>
      </c>
      <c r="C109" s="15" t="s">
        <v>9</v>
      </c>
      <c r="D109" s="15" t="s">
        <v>14</v>
      </c>
      <c r="E109" s="15">
        <v>6</v>
      </c>
      <c r="F109" s="15">
        <v>35908</v>
      </c>
      <c r="G109" s="16">
        <f>'Data File'!$F109*'Data File'!$E109</f>
        <v>215448</v>
      </c>
    </row>
    <row r="110" spans="1:7" x14ac:dyDescent="0.35">
      <c r="A110" s="11">
        <v>44966.351354166669</v>
      </c>
      <c r="B110" s="12" t="s">
        <v>12</v>
      </c>
      <c r="C110" s="12" t="s">
        <v>11</v>
      </c>
      <c r="D110" s="12" t="s">
        <v>15</v>
      </c>
      <c r="E110" s="12">
        <v>14</v>
      </c>
      <c r="F110" s="12">
        <v>20523</v>
      </c>
      <c r="G110" s="13">
        <f>'Data File'!$F110*'Data File'!$E110</f>
        <v>287322</v>
      </c>
    </row>
    <row r="111" spans="1:7" x14ac:dyDescent="0.35">
      <c r="A111" s="14">
        <v>44966.715717592589</v>
      </c>
      <c r="B111" s="15" t="s">
        <v>6</v>
      </c>
      <c r="C111" s="15" t="s">
        <v>9</v>
      </c>
      <c r="D111" s="15" t="s">
        <v>19</v>
      </c>
      <c r="E111" s="15">
        <v>6</v>
      </c>
      <c r="F111" s="15">
        <v>67433</v>
      </c>
      <c r="G111" s="16">
        <f>'Data File'!$F111*'Data File'!$E111</f>
        <v>404598</v>
      </c>
    </row>
    <row r="112" spans="1:7" x14ac:dyDescent="0.35">
      <c r="A112" s="11">
        <v>44967.080081018517</v>
      </c>
      <c r="B112" s="12" t="s">
        <v>7</v>
      </c>
      <c r="C112" s="12" t="s">
        <v>21</v>
      </c>
      <c r="D112" s="12" t="s">
        <v>18</v>
      </c>
      <c r="E112" s="12">
        <v>2</v>
      </c>
      <c r="F112" s="12">
        <v>52068</v>
      </c>
      <c r="G112" s="13">
        <f>'Data File'!$F112*'Data File'!$E112</f>
        <v>104136</v>
      </c>
    </row>
    <row r="113" spans="1:7" x14ac:dyDescent="0.35">
      <c r="A113" s="14">
        <v>44967.444444444445</v>
      </c>
      <c r="B113" s="15" t="s">
        <v>6</v>
      </c>
      <c r="C113" s="15" t="s">
        <v>21</v>
      </c>
      <c r="D113" s="15" t="s">
        <v>17</v>
      </c>
      <c r="E113" s="15">
        <v>1</v>
      </c>
      <c r="F113" s="15">
        <v>24991</v>
      </c>
      <c r="G113" s="16">
        <f>'Data File'!$F113*'Data File'!$E113</f>
        <v>24991</v>
      </c>
    </row>
    <row r="114" spans="1:7" x14ac:dyDescent="0.35">
      <c r="A114" s="11">
        <v>44967.808807870373</v>
      </c>
      <c r="B114" s="12" t="s">
        <v>7</v>
      </c>
      <c r="C114" s="12" t="s">
        <v>21</v>
      </c>
      <c r="D114" s="12" t="s">
        <v>19</v>
      </c>
      <c r="E114" s="12">
        <v>10</v>
      </c>
      <c r="F114" s="12">
        <v>15775</v>
      </c>
      <c r="G114" s="13">
        <f>'Data File'!$F114*'Data File'!$E114</f>
        <v>157750</v>
      </c>
    </row>
    <row r="115" spans="1:7" x14ac:dyDescent="0.35">
      <c r="A115" s="14">
        <v>44968.173171296294</v>
      </c>
      <c r="B115" s="15" t="s">
        <v>12</v>
      </c>
      <c r="C115" s="15" t="s">
        <v>21</v>
      </c>
      <c r="D115" s="15" t="s">
        <v>18</v>
      </c>
      <c r="E115" s="15">
        <v>5</v>
      </c>
      <c r="F115" s="15">
        <v>66250</v>
      </c>
      <c r="G115" s="16">
        <f>'Data File'!$F115*'Data File'!$E115</f>
        <v>331250</v>
      </c>
    </row>
    <row r="116" spans="1:7" x14ac:dyDescent="0.35">
      <c r="A116" s="11">
        <v>44968.537534722222</v>
      </c>
      <c r="B116" s="12" t="s">
        <v>6</v>
      </c>
      <c r="C116" s="12" t="s">
        <v>8</v>
      </c>
      <c r="D116" s="12" t="s">
        <v>17</v>
      </c>
      <c r="E116" s="12">
        <v>2</v>
      </c>
      <c r="F116" s="12">
        <v>21673</v>
      </c>
      <c r="G116" s="13">
        <f>'Data File'!$F116*'Data File'!$E116</f>
        <v>43346</v>
      </c>
    </row>
    <row r="117" spans="1:7" x14ac:dyDescent="0.35">
      <c r="A117" s="14">
        <v>44968.901898148149</v>
      </c>
      <c r="B117" s="15" t="s">
        <v>7</v>
      </c>
      <c r="C117" s="15" t="s">
        <v>21</v>
      </c>
      <c r="D117" s="15" t="s">
        <v>17</v>
      </c>
      <c r="E117" s="15">
        <v>16</v>
      </c>
      <c r="F117" s="15">
        <v>32056</v>
      </c>
      <c r="G117" s="16">
        <f>'Data File'!$F117*'Data File'!$E117</f>
        <v>512896</v>
      </c>
    </row>
    <row r="118" spans="1:7" x14ac:dyDescent="0.35">
      <c r="A118" s="11">
        <v>44969.266261574077</v>
      </c>
      <c r="B118" s="12" t="s">
        <v>13</v>
      </c>
      <c r="C118" s="12" t="s">
        <v>10</v>
      </c>
      <c r="D118" s="12" t="s">
        <v>19</v>
      </c>
      <c r="E118" s="12">
        <v>2</v>
      </c>
      <c r="F118" s="12">
        <v>11614</v>
      </c>
      <c r="G118" s="13">
        <f>'Data File'!$F118*'Data File'!$E118</f>
        <v>23228</v>
      </c>
    </row>
    <row r="119" spans="1:7" x14ac:dyDescent="0.35">
      <c r="A119" s="14">
        <v>44969.630624999998</v>
      </c>
      <c r="B119" s="15" t="s">
        <v>12</v>
      </c>
      <c r="C119" s="15" t="s">
        <v>10</v>
      </c>
      <c r="D119" s="15" t="s">
        <v>16</v>
      </c>
      <c r="E119" s="15">
        <v>10</v>
      </c>
      <c r="F119" s="15">
        <v>12415</v>
      </c>
      <c r="G119" s="16">
        <f>'Data File'!$F119*'Data File'!$E119</f>
        <v>124150</v>
      </c>
    </row>
    <row r="120" spans="1:7" x14ac:dyDescent="0.35">
      <c r="A120" s="11">
        <v>44969.995000000003</v>
      </c>
      <c r="B120" s="12" t="s">
        <v>7</v>
      </c>
      <c r="C120" s="12" t="s">
        <v>8</v>
      </c>
      <c r="D120" s="12" t="s">
        <v>16</v>
      </c>
      <c r="E120" s="12">
        <v>2</v>
      </c>
      <c r="F120" s="12">
        <v>48884</v>
      </c>
      <c r="G120" s="13">
        <f>'Data File'!$F120*'Data File'!$E120</f>
        <v>97768</v>
      </c>
    </row>
    <row r="121" spans="1:7" x14ac:dyDescent="0.35">
      <c r="A121" s="14">
        <v>44970.359363425923</v>
      </c>
      <c r="B121" s="15" t="s">
        <v>13</v>
      </c>
      <c r="C121" s="15" t="s">
        <v>21</v>
      </c>
      <c r="D121" s="15" t="s">
        <v>17</v>
      </c>
      <c r="E121" s="15">
        <v>16</v>
      </c>
      <c r="F121" s="15">
        <v>21964</v>
      </c>
      <c r="G121" s="16">
        <f>'Data File'!$F121*'Data File'!$E121</f>
        <v>351424</v>
      </c>
    </row>
    <row r="122" spans="1:7" x14ac:dyDescent="0.35">
      <c r="A122" s="11">
        <v>44970.723726851851</v>
      </c>
      <c r="B122" s="12" t="s">
        <v>7</v>
      </c>
      <c r="C122" s="12" t="s">
        <v>21</v>
      </c>
      <c r="D122" s="12" t="s">
        <v>16</v>
      </c>
      <c r="E122" s="12">
        <v>16</v>
      </c>
      <c r="F122" s="12">
        <v>42726</v>
      </c>
      <c r="G122" s="13">
        <f>'Data File'!$F122*'Data File'!$E122</f>
        <v>683616</v>
      </c>
    </row>
    <row r="123" spans="1:7" x14ac:dyDescent="0.35">
      <c r="A123" s="14">
        <v>44971.088090277779</v>
      </c>
      <c r="B123" s="15" t="s">
        <v>13</v>
      </c>
      <c r="C123" s="15" t="s">
        <v>21</v>
      </c>
      <c r="D123" s="15" t="s">
        <v>14</v>
      </c>
      <c r="E123" s="15">
        <v>19</v>
      </c>
      <c r="F123" s="15">
        <v>42044</v>
      </c>
      <c r="G123" s="16">
        <f>'Data File'!$F123*'Data File'!$E123</f>
        <v>798836</v>
      </c>
    </row>
    <row r="124" spans="1:7" x14ac:dyDescent="0.35">
      <c r="A124" s="11">
        <v>44971.452453703707</v>
      </c>
      <c r="B124" s="12" t="s">
        <v>12</v>
      </c>
      <c r="C124" s="12" t="s">
        <v>9</v>
      </c>
      <c r="D124" s="12" t="s">
        <v>17</v>
      </c>
      <c r="E124" s="12">
        <v>7</v>
      </c>
      <c r="F124" s="12">
        <v>62149</v>
      </c>
      <c r="G124" s="13">
        <f>'Data File'!$F124*'Data File'!$E124</f>
        <v>435043</v>
      </c>
    </row>
    <row r="125" spans="1:7" x14ac:dyDescent="0.35">
      <c r="A125" s="14">
        <v>44971.816817129627</v>
      </c>
      <c r="B125" s="15" t="s">
        <v>6</v>
      </c>
      <c r="C125" s="15" t="s">
        <v>11</v>
      </c>
      <c r="D125" s="15" t="s">
        <v>17</v>
      </c>
      <c r="E125" s="15">
        <v>12</v>
      </c>
      <c r="F125" s="15">
        <v>42544</v>
      </c>
      <c r="G125" s="16">
        <f>'Data File'!$F125*'Data File'!$E125</f>
        <v>510528</v>
      </c>
    </row>
    <row r="126" spans="1:7" x14ac:dyDescent="0.35">
      <c r="A126" s="11">
        <v>44972.181180555555</v>
      </c>
      <c r="B126" s="12" t="s">
        <v>13</v>
      </c>
      <c r="C126" s="12" t="s">
        <v>9</v>
      </c>
      <c r="D126" s="12" t="s">
        <v>18</v>
      </c>
      <c r="E126" s="12">
        <v>15</v>
      </c>
      <c r="F126" s="12">
        <v>54976</v>
      </c>
      <c r="G126" s="13">
        <f>'Data File'!$F126*'Data File'!$E126</f>
        <v>824640</v>
      </c>
    </row>
    <row r="127" spans="1:7" x14ac:dyDescent="0.35">
      <c r="A127" s="14">
        <v>44972.545543981483</v>
      </c>
      <c r="B127" s="15" t="s">
        <v>7</v>
      </c>
      <c r="C127" s="15" t="s">
        <v>11</v>
      </c>
      <c r="D127" s="15" t="s">
        <v>16</v>
      </c>
      <c r="E127" s="15">
        <v>8</v>
      </c>
      <c r="F127" s="15">
        <v>37252</v>
      </c>
      <c r="G127" s="16">
        <f>'Data File'!$F127*'Data File'!$E127</f>
        <v>298016</v>
      </c>
    </row>
    <row r="128" spans="1:7" x14ac:dyDescent="0.35">
      <c r="A128" s="11">
        <v>44972.909907407404</v>
      </c>
      <c r="B128" s="12" t="s">
        <v>12</v>
      </c>
      <c r="C128" s="12" t="s">
        <v>21</v>
      </c>
      <c r="D128" s="12" t="s">
        <v>17</v>
      </c>
      <c r="E128" s="12">
        <v>6</v>
      </c>
      <c r="F128" s="12">
        <v>8832</v>
      </c>
      <c r="G128" s="13">
        <f>'Data File'!$F128*'Data File'!$E128</f>
        <v>52992</v>
      </c>
    </row>
    <row r="129" spans="1:7" x14ac:dyDescent="0.35">
      <c r="A129" s="14">
        <v>44973.274270833332</v>
      </c>
      <c r="B129" s="15" t="s">
        <v>13</v>
      </c>
      <c r="C129" s="15" t="s">
        <v>21</v>
      </c>
      <c r="D129" s="15" t="s">
        <v>14</v>
      </c>
      <c r="E129" s="15">
        <v>10</v>
      </c>
      <c r="F129" s="15">
        <v>39148</v>
      </c>
      <c r="G129" s="16">
        <f>'Data File'!$F129*'Data File'!$E129</f>
        <v>391480</v>
      </c>
    </row>
    <row r="130" spans="1:7" x14ac:dyDescent="0.35">
      <c r="A130" s="11">
        <v>44973.63863425926</v>
      </c>
      <c r="B130" s="12" t="s">
        <v>7</v>
      </c>
      <c r="C130" s="12" t="s">
        <v>9</v>
      </c>
      <c r="D130" s="12" t="s">
        <v>18</v>
      </c>
      <c r="E130" s="12">
        <v>3</v>
      </c>
      <c r="F130" s="12">
        <v>66240</v>
      </c>
      <c r="G130" s="13">
        <f>'Data File'!$F130*'Data File'!$E130</f>
        <v>198720</v>
      </c>
    </row>
    <row r="131" spans="1:7" x14ac:dyDescent="0.35">
      <c r="A131" s="14">
        <v>44974.002997685187</v>
      </c>
      <c r="B131" s="15" t="s">
        <v>7</v>
      </c>
      <c r="C131" s="15" t="s">
        <v>9</v>
      </c>
      <c r="D131" s="15" t="s">
        <v>19</v>
      </c>
      <c r="E131" s="15">
        <v>19</v>
      </c>
      <c r="F131" s="15">
        <v>58459</v>
      </c>
      <c r="G131" s="16">
        <f>'Data File'!$F131*'Data File'!$E131</f>
        <v>1110721</v>
      </c>
    </row>
    <row r="132" spans="1:7" x14ac:dyDescent="0.35">
      <c r="A132" s="11">
        <v>44974.367372685185</v>
      </c>
      <c r="B132" s="12" t="s">
        <v>7</v>
      </c>
      <c r="C132" s="12" t="s">
        <v>11</v>
      </c>
      <c r="D132" s="12" t="s">
        <v>17</v>
      </c>
      <c r="E132" s="12">
        <v>17</v>
      </c>
      <c r="F132" s="12">
        <v>43402</v>
      </c>
      <c r="G132" s="13">
        <f>'Data File'!$F132*'Data File'!$E132</f>
        <v>737834</v>
      </c>
    </row>
    <row r="133" spans="1:7" x14ac:dyDescent="0.35">
      <c r="A133" s="14">
        <v>44974.731736111113</v>
      </c>
      <c r="B133" s="15" t="s">
        <v>13</v>
      </c>
      <c r="C133" s="15" t="s">
        <v>10</v>
      </c>
      <c r="D133" s="15" t="s">
        <v>14</v>
      </c>
      <c r="E133" s="15">
        <v>7</v>
      </c>
      <c r="F133" s="15">
        <v>62727</v>
      </c>
      <c r="G133" s="16">
        <f>'Data File'!$F133*'Data File'!$E133</f>
        <v>439089</v>
      </c>
    </row>
    <row r="134" spans="1:7" x14ac:dyDescent="0.35">
      <c r="A134" s="11">
        <v>44975.096099537041</v>
      </c>
      <c r="B134" s="12" t="s">
        <v>13</v>
      </c>
      <c r="C134" s="12" t="s">
        <v>11</v>
      </c>
      <c r="D134" s="12" t="s">
        <v>15</v>
      </c>
      <c r="E134" s="12">
        <v>4</v>
      </c>
      <c r="F134" s="12">
        <v>43578</v>
      </c>
      <c r="G134" s="13">
        <f>'Data File'!$F134*'Data File'!$E134</f>
        <v>174312</v>
      </c>
    </row>
    <row r="135" spans="1:7" x14ac:dyDescent="0.35">
      <c r="A135" s="14">
        <v>44975.460462962961</v>
      </c>
      <c r="B135" s="15" t="s">
        <v>13</v>
      </c>
      <c r="C135" s="15" t="s">
        <v>9</v>
      </c>
      <c r="D135" s="15" t="s">
        <v>14</v>
      </c>
      <c r="E135" s="15">
        <v>14</v>
      </c>
      <c r="F135" s="15">
        <v>27318</v>
      </c>
      <c r="G135" s="16">
        <f>'Data File'!$F135*'Data File'!$E135</f>
        <v>382452</v>
      </c>
    </row>
    <row r="136" spans="1:7" x14ac:dyDescent="0.35">
      <c r="A136" s="11">
        <v>44975.824826388889</v>
      </c>
      <c r="B136" s="12" t="s">
        <v>6</v>
      </c>
      <c r="C136" s="12" t="s">
        <v>9</v>
      </c>
      <c r="D136" s="12" t="s">
        <v>14</v>
      </c>
      <c r="E136" s="12">
        <v>15</v>
      </c>
      <c r="F136" s="12">
        <v>25466</v>
      </c>
      <c r="G136" s="13">
        <f>'Data File'!$F136*'Data File'!$E136</f>
        <v>381990</v>
      </c>
    </row>
    <row r="137" spans="1:7" x14ac:dyDescent="0.35">
      <c r="A137" s="14">
        <v>44976.189189814817</v>
      </c>
      <c r="B137" s="15" t="s">
        <v>13</v>
      </c>
      <c r="C137" s="15" t="s">
        <v>8</v>
      </c>
      <c r="D137" s="15" t="s">
        <v>18</v>
      </c>
      <c r="E137" s="15">
        <v>8</v>
      </c>
      <c r="F137" s="15">
        <v>50475</v>
      </c>
      <c r="G137" s="16">
        <f>'Data File'!$F137*'Data File'!$E137</f>
        <v>403800</v>
      </c>
    </row>
    <row r="138" spans="1:7" x14ac:dyDescent="0.35">
      <c r="A138" s="11">
        <v>44976.553553240738</v>
      </c>
      <c r="B138" s="12" t="s">
        <v>13</v>
      </c>
      <c r="C138" s="12" t="s">
        <v>9</v>
      </c>
      <c r="D138" s="12" t="s">
        <v>19</v>
      </c>
      <c r="E138" s="12">
        <v>15</v>
      </c>
      <c r="F138" s="12">
        <v>65142</v>
      </c>
      <c r="G138" s="13">
        <f>'Data File'!$F138*'Data File'!$E138</f>
        <v>977130</v>
      </c>
    </row>
    <row r="139" spans="1:7" x14ac:dyDescent="0.35">
      <c r="A139" s="14">
        <v>44976.917916666665</v>
      </c>
      <c r="B139" s="15" t="s">
        <v>13</v>
      </c>
      <c r="C139" s="15" t="s">
        <v>8</v>
      </c>
      <c r="D139" s="15" t="s">
        <v>15</v>
      </c>
      <c r="E139" s="15">
        <v>14</v>
      </c>
      <c r="F139" s="15">
        <v>31564</v>
      </c>
      <c r="G139" s="16">
        <f>'Data File'!$F139*'Data File'!$E139</f>
        <v>441896</v>
      </c>
    </row>
    <row r="140" spans="1:7" x14ac:dyDescent="0.35">
      <c r="A140" s="11">
        <v>44977.282280092593</v>
      </c>
      <c r="B140" s="12" t="s">
        <v>6</v>
      </c>
      <c r="C140" s="12" t="s">
        <v>10</v>
      </c>
      <c r="D140" s="12" t="s">
        <v>16</v>
      </c>
      <c r="E140" s="12">
        <v>9</v>
      </c>
      <c r="F140" s="12">
        <v>27412</v>
      </c>
      <c r="G140" s="13">
        <f>'Data File'!$F140*'Data File'!$E140</f>
        <v>246708</v>
      </c>
    </row>
    <row r="141" spans="1:7" x14ac:dyDescent="0.35">
      <c r="A141" s="14">
        <v>44977.646643518521</v>
      </c>
      <c r="B141" s="15" t="s">
        <v>13</v>
      </c>
      <c r="C141" s="15" t="s">
        <v>11</v>
      </c>
      <c r="D141" s="15" t="s">
        <v>16</v>
      </c>
      <c r="E141" s="15">
        <v>8</v>
      </c>
      <c r="F141" s="15">
        <v>56001</v>
      </c>
      <c r="G141" s="16">
        <f>'Data File'!$F141*'Data File'!$E141</f>
        <v>448008</v>
      </c>
    </row>
    <row r="142" spans="1:7" x14ac:dyDescent="0.35">
      <c r="A142" s="11">
        <v>44978.011006944442</v>
      </c>
      <c r="B142" s="12" t="s">
        <v>7</v>
      </c>
      <c r="C142" s="12" t="s">
        <v>11</v>
      </c>
      <c r="D142" s="12" t="s">
        <v>14</v>
      </c>
      <c r="E142" s="12">
        <v>17</v>
      </c>
      <c r="F142" s="12">
        <v>62649</v>
      </c>
      <c r="G142" s="13">
        <f>'Data File'!$F142*'Data File'!$E142</f>
        <v>1065033</v>
      </c>
    </row>
    <row r="143" spans="1:7" x14ac:dyDescent="0.35">
      <c r="A143" s="14">
        <v>44978.37537037037</v>
      </c>
      <c r="B143" s="15" t="s">
        <v>13</v>
      </c>
      <c r="C143" s="15" t="s">
        <v>8</v>
      </c>
      <c r="D143" s="15" t="s">
        <v>18</v>
      </c>
      <c r="E143" s="15">
        <v>2</v>
      </c>
      <c r="F143" s="15">
        <v>65957</v>
      </c>
      <c r="G143" s="16">
        <f>'Data File'!$F143*'Data File'!$E143</f>
        <v>131914</v>
      </c>
    </row>
    <row r="144" spans="1:7" x14ac:dyDescent="0.35">
      <c r="A144" s="11">
        <v>44978.739745370367</v>
      </c>
      <c r="B144" s="12" t="s">
        <v>7</v>
      </c>
      <c r="C144" s="12" t="s">
        <v>11</v>
      </c>
      <c r="D144" s="12" t="s">
        <v>18</v>
      </c>
      <c r="E144" s="12">
        <v>3</v>
      </c>
      <c r="F144" s="12">
        <v>40517</v>
      </c>
      <c r="G144" s="13">
        <f>'Data File'!$F144*'Data File'!$E144</f>
        <v>121551</v>
      </c>
    </row>
    <row r="145" spans="1:7" x14ac:dyDescent="0.35">
      <c r="A145" s="14">
        <v>44979.104108796295</v>
      </c>
      <c r="B145" s="15" t="s">
        <v>7</v>
      </c>
      <c r="C145" s="15" t="s">
        <v>9</v>
      </c>
      <c r="D145" s="15" t="s">
        <v>16</v>
      </c>
      <c r="E145" s="15">
        <v>8</v>
      </c>
      <c r="F145" s="15">
        <v>18156</v>
      </c>
      <c r="G145" s="16">
        <f>'Data File'!$F145*'Data File'!$E145</f>
        <v>145248</v>
      </c>
    </row>
    <row r="146" spans="1:7" x14ac:dyDescent="0.35">
      <c r="A146" s="11">
        <v>44979.468472222223</v>
      </c>
      <c r="B146" s="12" t="s">
        <v>7</v>
      </c>
      <c r="C146" s="12" t="s">
        <v>21</v>
      </c>
      <c r="D146" s="12" t="s">
        <v>15</v>
      </c>
      <c r="E146" s="12">
        <v>12</v>
      </c>
      <c r="F146" s="12">
        <v>28064</v>
      </c>
      <c r="G146" s="13">
        <f>'Data File'!$F146*'Data File'!$E146</f>
        <v>336768</v>
      </c>
    </row>
    <row r="147" spans="1:7" x14ac:dyDescent="0.35">
      <c r="A147" s="14">
        <v>44979.832835648151</v>
      </c>
      <c r="B147" s="15" t="s">
        <v>6</v>
      </c>
      <c r="C147" s="15" t="s">
        <v>8</v>
      </c>
      <c r="D147" s="15" t="s">
        <v>19</v>
      </c>
      <c r="E147" s="15">
        <v>1</v>
      </c>
      <c r="F147" s="15">
        <v>30711</v>
      </c>
      <c r="G147" s="16">
        <f>'Data File'!$F147*'Data File'!$E147</f>
        <v>30711</v>
      </c>
    </row>
    <row r="148" spans="1:7" x14ac:dyDescent="0.35">
      <c r="A148" s="11">
        <v>44980.197199074071</v>
      </c>
      <c r="B148" s="12" t="s">
        <v>6</v>
      </c>
      <c r="C148" s="12" t="s">
        <v>11</v>
      </c>
      <c r="D148" s="12" t="s">
        <v>15</v>
      </c>
      <c r="E148" s="12">
        <v>10</v>
      </c>
      <c r="F148" s="12">
        <v>35106</v>
      </c>
      <c r="G148" s="13">
        <f>'Data File'!$F148*'Data File'!$E148</f>
        <v>351060</v>
      </c>
    </row>
    <row r="149" spans="1:7" x14ac:dyDescent="0.35">
      <c r="A149" s="14">
        <v>44980.561562499999</v>
      </c>
      <c r="B149" s="15" t="s">
        <v>6</v>
      </c>
      <c r="C149" s="15" t="s">
        <v>8</v>
      </c>
      <c r="D149" s="15" t="s">
        <v>17</v>
      </c>
      <c r="E149" s="15">
        <v>3</v>
      </c>
      <c r="F149" s="15">
        <v>70458</v>
      </c>
      <c r="G149" s="16">
        <f>'Data File'!$F149*'Data File'!$E149</f>
        <v>211374</v>
      </c>
    </row>
    <row r="150" spans="1:7" x14ac:dyDescent="0.35">
      <c r="A150" s="11">
        <v>44980.925925925927</v>
      </c>
      <c r="B150" s="12" t="s">
        <v>13</v>
      </c>
      <c r="C150" s="12" t="s">
        <v>8</v>
      </c>
      <c r="D150" s="12" t="s">
        <v>17</v>
      </c>
      <c r="E150" s="12">
        <v>6</v>
      </c>
      <c r="F150" s="12">
        <v>21589</v>
      </c>
      <c r="G150" s="13">
        <f>'Data File'!$F150*'Data File'!$E150</f>
        <v>129534</v>
      </c>
    </row>
    <row r="151" spans="1:7" x14ac:dyDescent="0.35">
      <c r="A151" s="14">
        <v>44981.290289351855</v>
      </c>
      <c r="B151" s="15" t="s">
        <v>7</v>
      </c>
      <c r="C151" s="15" t="s">
        <v>21</v>
      </c>
      <c r="D151" s="15" t="s">
        <v>19</v>
      </c>
      <c r="E151" s="15">
        <v>7</v>
      </c>
      <c r="F151" s="15">
        <v>12214</v>
      </c>
      <c r="G151" s="16">
        <f>'Data File'!$F151*'Data File'!$E151</f>
        <v>85498</v>
      </c>
    </row>
    <row r="152" spans="1:7" x14ac:dyDescent="0.35">
      <c r="A152" s="11">
        <v>44981.654652777775</v>
      </c>
      <c r="B152" s="12" t="s">
        <v>6</v>
      </c>
      <c r="C152" s="12" t="s">
        <v>9</v>
      </c>
      <c r="D152" s="12" t="s">
        <v>16</v>
      </c>
      <c r="E152" s="12">
        <v>18</v>
      </c>
      <c r="F152" s="12">
        <v>32127</v>
      </c>
      <c r="G152" s="13">
        <f>'Data File'!$F152*'Data File'!$E152</f>
        <v>578286</v>
      </c>
    </row>
    <row r="153" spans="1:7" x14ac:dyDescent="0.35">
      <c r="A153" s="14">
        <v>44982.019016203703</v>
      </c>
      <c r="B153" s="15" t="s">
        <v>6</v>
      </c>
      <c r="C153" s="15" t="s">
        <v>8</v>
      </c>
      <c r="D153" s="15" t="s">
        <v>19</v>
      </c>
      <c r="E153" s="15">
        <v>11</v>
      </c>
      <c r="F153" s="15">
        <v>10141</v>
      </c>
      <c r="G153" s="16">
        <f>'Data File'!$F153*'Data File'!$E153</f>
        <v>111551</v>
      </c>
    </row>
    <row r="154" spans="1:7" x14ac:dyDescent="0.35">
      <c r="A154" s="11">
        <v>44982.383379629631</v>
      </c>
      <c r="B154" s="12" t="s">
        <v>13</v>
      </c>
      <c r="C154" s="12" t="s">
        <v>11</v>
      </c>
      <c r="D154" s="12" t="s">
        <v>18</v>
      </c>
      <c r="E154" s="12">
        <v>19</v>
      </c>
      <c r="F154" s="12">
        <v>33884</v>
      </c>
      <c r="G154" s="13">
        <f>'Data File'!$F154*'Data File'!$E154</f>
        <v>643796</v>
      </c>
    </row>
    <row r="155" spans="1:7" x14ac:dyDescent="0.35">
      <c r="A155" s="14">
        <v>44982.747743055559</v>
      </c>
      <c r="B155" s="15" t="s">
        <v>6</v>
      </c>
      <c r="C155" s="15" t="s">
        <v>10</v>
      </c>
      <c r="D155" s="15" t="s">
        <v>17</v>
      </c>
      <c r="E155" s="15">
        <v>5</v>
      </c>
      <c r="F155" s="15">
        <v>7708</v>
      </c>
      <c r="G155" s="16">
        <f>'Data File'!$F155*'Data File'!$E155</f>
        <v>38540</v>
      </c>
    </row>
    <row r="156" spans="1:7" x14ac:dyDescent="0.35">
      <c r="A156" s="11">
        <v>44983.11210648148</v>
      </c>
      <c r="B156" s="12" t="s">
        <v>13</v>
      </c>
      <c r="C156" s="12" t="s">
        <v>8</v>
      </c>
      <c r="D156" s="12" t="s">
        <v>14</v>
      </c>
      <c r="E156" s="12">
        <v>19</v>
      </c>
      <c r="F156" s="12">
        <v>23375</v>
      </c>
      <c r="G156" s="13">
        <f>'Data File'!$F156*'Data File'!$E156</f>
        <v>444125</v>
      </c>
    </row>
    <row r="157" spans="1:7" x14ac:dyDescent="0.35">
      <c r="A157" s="14">
        <v>44983.476481481484</v>
      </c>
      <c r="B157" s="15" t="s">
        <v>12</v>
      </c>
      <c r="C157" s="15" t="s">
        <v>8</v>
      </c>
      <c r="D157" s="15" t="s">
        <v>14</v>
      </c>
      <c r="E157" s="15">
        <v>11</v>
      </c>
      <c r="F157" s="15">
        <v>20088</v>
      </c>
      <c r="G157" s="16">
        <f>'Data File'!$F157*'Data File'!$E157</f>
        <v>220968</v>
      </c>
    </row>
    <row r="158" spans="1:7" x14ac:dyDescent="0.35">
      <c r="A158" s="11">
        <v>44983.840844907405</v>
      </c>
      <c r="B158" s="12" t="s">
        <v>6</v>
      </c>
      <c r="C158" s="12" t="s">
        <v>21</v>
      </c>
      <c r="D158" s="12" t="s">
        <v>16</v>
      </c>
      <c r="E158" s="12">
        <v>12</v>
      </c>
      <c r="F158" s="12">
        <v>62615</v>
      </c>
      <c r="G158" s="13">
        <f>'Data File'!$F158*'Data File'!$E158</f>
        <v>751380</v>
      </c>
    </row>
    <row r="159" spans="1:7" x14ac:dyDescent="0.35">
      <c r="A159" s="14">
        <v>44984.205208333333</v>
      </c>
      <c r="B159" s="15" t="s">
        <v>12</v>
      </c>
      <c r="C159" s="15" t="s">
        <v>9</v>
      </c>
      <c r="D159" s="15" t="s">
        <v>18</v>
      </c>
      <c r="E159" s="15">
        <v>10</v>
      </c>
      <c r="F159" s="15">
        <v>50046</v>
      </c>
      <c r="G159" s="16">
        <f>'Data File'!$F159*'Data File'!$E159</f>
        <v>500460</v>
      </c>
    </row>
    <row r="160" spans="1:7" x14ac:dyDescent="0.35">
      <c r="A160" s="11">
        <v>44984.569571759261</v>
      </c>
      <c r="B160" s="12" t="s">
        <v>13</v>
      </c>
      <c r="C160" s="12" t="s">
        <v>10</v>
      </c>
      <c r="D160" s="12" t="s">
        <v>15</v>
      </c>
      <c r="E160" s="12">
        <v>8</v>
      </c>
      <c r="F160" s="12">
        <v>15014</v>
      </c>
      <c r="G160" s="13">
        <f>'Data File'!$F160*'Data File'!$E160</f>
        <v>120112</v>
      </c>
    </row>
    <row r="161" spans="1:7" x14ac:dyDescent="0.35">
      <c r="A161" s="14">
        <v>44984.933935185189</v>
      </c>
      <c r="B161" s="15" t="s">
        <v>7</v>
      </c>
      <c r="C161" s="15" t="s">
        <v>11</v>
      </c>
      <c r="D161" s="15" t="s">
        <v>18</v>
      </c>
      <c r="E161" s="15">
        <v>9</v>
      </c>
      <c r="F161" s="15">
        <v>69425</v>
      </c>
      <c r="G161" s="16">
        <f>'Data File'!$F161*'Data File'!$E161</f>
        <v>624825</v>
      </c>
    </row>
    <row r="162" spans="1:7" x14ac:dyDescent="0.35">
      <c r="A162" s="11">
        <v>44985.298298611109</v>
      </c>
      <c r="B162" s="12" t="s">
        <v>6</v>
      </c>
      <c r="C162" s="12" t="s">
        <v>10</v>
      </c>
      <c r="D162" s="12" t="s">
        <v>14</v>
      </c>
      <c r="E162" s="12">
        <v>4</v>
      </c>
      <c r="F162" s="12">
        <v>8273</v>
      </c>
      <c r="G162" s="13">
        <f>'Data File'!$F162*'Data File'!$E162</f>
        <v>33092</v>
      </c>
    </row>
    <row r="163" spans="1:7" x14ac:dyDescent="0.35">
      <c r="A163" s="14">
        <v>44985.662662037037</v>
      </c>
      <c r="B163" s="15" t="s">
        <v>13</v>
      </c>
      <c r="C163" s="15" t="s">
        <v>11</v>
      </c>
      <c r="D163" s="15" t="s">
        <v>14</v>
      </c>
      <c r="E163" s="15">
        <v>5</v>
      </c>
      <c r="F163" s="15">
        <v>52135</v>
      </c>
      <c r="G163" s="16">
        <f>'Data File'!$F163*'Data File'!$E163</f>
        <v>260675</v>
      </c>
    </row>
    <row r="164" spans="1:7" x14ac:dyDescent="0.35">
      <c r="A164" s="11">
        <v>44986.027025462965</v>
      </c>
      <c r="B164" s="12" t="s">
        <v>7</v>
      </c>
      <c r="C164" s="12" t="s">
        <v>9</v>
      </c>
      <c r="D164" s="12" t="s">
        <v>17</v>
      </c>
      <c r="E164" s="12">
        <v>8</v>
      </c>
      <c r="F164" s="12">
        <v>35881</v>
      </c>
      <c r="G164" s="13">
        <f>'Data File'!$F164*'Data File'!$E164</f>
        <v>287048</v>
      </c>
    </row>
    <row r="165" spans="1:7" x14ac:dyDescent="0.35">
      <c r="A165" s="14">
        <v>44986.391388888886</v>
      </c>
      <c r="B165" s="15" t="s">
        <v>7</v>
      </c>
      <c r="C165" s="15" t="s">
        <v>11</v>
      </c>
      <c r="D165" s="15" t="s">
        <v>18</v>
      </c>
      <c r="E165" s="15">
        <v>9</v>
      </c>
      <c r="F165" s="15">
        <v>13712</v>
      </c>
      <c r="G165" s="16">
        <f>'Data File'!$F165*'Data File'!$E165</f>
        <v>123408</v>
      </c>
    </row>
    <row r="166" spans="1:7" x14ac:dyDescent="0.35">
      <c r="A166" s="11">
        <v>44986.755752314813</v>
      </c>
      <c r="B166" s="12" t="s">
        <v>12</v>
      </c>
      <c r="C166" s="12" t="s">
        <v>21</v>
      </c>
      <c r="D166" s="12" t="s">
        <v>18</v>
      </c>
      <c r="E166" s="12">
        <v>15</v>
      </c>
      <c r="F166" s="12">
        <v>57874</v>
      </c>
      <c r="G166" s="13">
        <f>'Data File'!$F166*'Data File'!$E166</f>
        <v>868110</v>
      </c>
    </row>
    <row r="167" spans="1:7" x14ac:dyDescent="0.35">
      <c r="A167" s="14">
        <v>44987.120115740741</v>
      </c>
      <c r="B167" s="15" t="s">
        <v>13</v>
      </c>
      <c r="C167" s="15" t="s">
        <v>21</v>
      </c>
      <c r="D167" s="15" t="s">
        <v>14</v>
      </c>
      <c r="E167" s="15">
        <v>15</v>
      </c>
      <c r="F167" s="15">
        <v>74087</v>
      </c>
      <c r="G167" s="16">
        <f>'Data File'!$F167*'Data File'!$E167</f>
        <v>1111305</v>
      </c>
    </row>
    <row r="168" spans="1:7" x14ac:dyDescent="0.35">
      <c r="A168" s="11">
        <v>44987.484479166669</v>
      </c>
      <c r="B168" s="12" t="s">
        <v>7</v>
      </c>
      <c r="C168" s="12" t="s">
        <v>21</v>
      </c>
      <c r="D168" s="12" t="s">
        <v>15</v>
      </c>
      <c r="E168" s="12">
        <v>16</v>
      </c>
      <c r="F168" s="12">
        <v>17297</v>
      </c>
      <c r="G168" s="13">
        <f>'Data File'!$F168*'Data File'!$E168</f>
        <v>276752</v>
      </c>
    </row>
    <row r="169" spans="1:7" x14ac:dyDescent="0.35">
      <c r="A169" s="14">
        <v>44987.848854166667</v>
      </c>
      <c r="B169" s="15" t="s">
        <v>6</v>
      </c>
      <c r="C169" s="15" t="s">
        <v>21</v>
      </c>
      <c r="D169" s="15" t="s">
        <v>16</v>
      </c>
      <c r="E169" s="15">
        <v>14</v>
      </c>
      <c r="F169" s="15">
        <v>32128</v>
      </c>
      <c r="G169" s="16">
        <f>'Data File'!$F169*'Data File'!$E169</f>
        <v>449792</v>
      </c>
    </row>
    <row r="170" spans="1:7" x14ac:dyDescent="0.35">
      <c r="A170" s="11">
        <v>44988.213217592594</v>
      </c>
      <c r="B170" s="12" t="s">
        <v>6</v>
      </c>
      <c r="C170" s="12" t="s">
        <v>10</v>
      </c>
      <c r="D170" s="12" t="s">
        <v>16</v>
      </c>
      <c r="E170" s="12">
        <v>8</v>
      </c>
      <c r="F170" s="12">
        <v>73368</v>
      </c>
      <c r="G170" s="13">
        <f>'Data File'!$F170*'Data File'!$E170</f>
        <v>586944</v>
      </c>
    </row>
    <row r="171" spans="1:7" x14ac:dyDescent="0.35">
      <c r="A171" s="14">
        <v>44988.577581018515</v>
      </c>
      <c r="B171" s="15" t="s">
        <v>12</v>
      </c>
      <c r="C171" s="15" t="s">
        <v>9</v>
      </c>
      <c r="D171" s="15" t="s">
        <v>18</v>
      </c>
      <c r="E171" s="15">
        <v>18</v>
      </c>
      <c r="F171" s="15">
        <v>37920</v>
      </c>
      <c r="G171" s="16">
        <f>'Data File'!$F171*'Data File'!$E171</f>
        <v>682560</v>
      </c>
    </row>
    <row r="172" spans="1:7" x14ac:dyDescent="0.35">
      <c r="A172" s="11">
        <v>44988.941944444443</v>
      </c>
      <c r="B172" s="12" t="s">
        <v>7</v>
      </c>
      <c r="C172" s="12" t="s">
        <v>11</v>
      </c>
      <c r="D172" s="12" t="s">
        <v>16</v>
      </c>
      <c r="E172" s="12">
        <v>10</v>
      </c>
      <c r="F172" s="12">
        <v>16156</v>
      </c>
      <c r="G172" s="13">
        <f>'Data File'!$F172*'Data File'!$E172</f>
        <v>161560</v>
      </c>
    </row>
    <row r="173" spans="1:7" x14ac:dyDescent="0.35">
      <c r="A173" s="14">
        <v>44989.306307870371</v>
      </c>
      <c r="B173" s="15" t="s">
        <v>13</v>
      </c>
      <c r="C173" s="15" t="s">
        <v>11</v>
      </c>
      <c r="D173" s="15" t="s">
        <v>14</v>
      </c>
      <c r="E173" s="15">
        <v>6</v>
      </c>
      <c r="F173" s="15">
        <v>16108</v>
      </c>
      <c r="G173" s="16">
        <f>'Data File'!$F173*'Data File'!$E173</f>
        <v>96648</v>
      </c>
    </row>
    <row r="174" spans="1:7" x14ac:dyDescent="0.35">
      <c r="A174" s="11">
        <v>44989.670671296299</v>
      </c>
      <c r="B174" s="12" t="s">
        <v>6</v>
      </c>
      <c r="C174" s="12" t="s">
        <v>21</v>
      </c>
      <c r="D174" s="12" t="s">
        <v>14</v>
      </c>
      <c r="E174" s="12">
        <v>12</v>
      </c>
      <c r="F174" s="12">
        <v>36845</v>
      </c>
      <c r="G174" s="13">
        <f>'Data File'!$F174*'Data File'!$E174</f>
        <v>442140</v>
      </c>
    </row>
    <row r="175" spans="1:7" x14ac:dyDescent="0.35">
      <c r="A175" s="14">
        <v>44990.035034722219</v>
      </c>
      <c r="B175" s="15" t="s">
        <v>7</v>
      </c>
      <c r="C175" s="15" t="s">
        <v>21</v>
      </c>
      <c r="D175" s="15" t="s">
        <v>18</v>
      </c>
      <c r="E175" s="15">
        <v>2</v>
      </c>
      <c r="F175" s="15">
        <v>7800</v>
      </c>
      <c r="G175" s="16">
        <f>'Data File'!$F175*'Data File'!$E175</f>
        <v>15600</v>
      </c>
    </row>
    <row r="176" spans="1:7" x14ac:dyDescent="0.35">
      <c r="A176" s="11">
        <v>44990.399398148147</v>
      </c>
      <c r="B176" s="12" t="s">
        <v>7</v>
      </c>
      <c r="C176" s="12" t="s">
        <v>8</v>
      </c>
      <c r="D176" s="12" t="s">
        <v>18</v>
      </c>
      <c r="E176" s="12">
        <v>7</v>
      </c>
      <c r="F176" s="12">
        <v>47712</v>
      </c>
      <c r="G176" s="13">
        <f>'Data File'!$F176*'Data File'!$E176</f>
        <v>333984</v>
      </c>
    </row>
    <row r="177" spans="1:7" x14ac:dyDescent="0.35">
      <c r="A177" s="14">
        <v>44990.763761574075</v>
      </c>
      <c r="B177" s="15" t="s">
        <v>12</v>
      </c>
      <c r="C177" s="15" t="s">
        <v>9</v>
      </c>
      <c r="D177" s="15" t="s">
        <v>17</v>
      </c>
      <c r="E177" s="15">
        <v>16</v>
      </c>
      <c r="F177" s="15">
        <v>7610</v>
      </c>
      <c r="G177" s="16">
        <f>'Data File'!$F177*'Data File'!$E177</f>
        <v>121760</v>
      </c>
    </row>
    <row r="178" spans="1:7" x14ac:dyDescent="0.35">
      <c r="A178" s="11">
        <v>44991.128125000003</v>
      </c>
      <c r="B178" s="12" t="s">
        <v>6</v>
      </c>
      <c r="C178" s="12" t="s">
        <v>10</v>
      </c>
      <c r="D178" s="12" t="s">
        <v>18</v>
      </c>
      <c r="E178" s="12">
        <v>3</v>
      </c>
      <c r="F178" s="12">
        <v>38872</v>
      </c>
      <c r="G178" s="13">
        <f>'Data File'!$F178*'Data File'!$E178</f>
        <v>116616</v>
      </c>
    </row>
    <row r="179" spans="1:7" x14ac:dyDescent="0.35">
      <c r="A179" s="14">
        <v>44991.492488425924</v>
      </c>
      <c r="B179" s="15" t="s">
        <v>6</v>
      </c>
      <c r="C179" s="15" t="s">
        <v>11</v>
      </c>
      <c r="D179" s="15" t="s">
        <v>15</v>
      </c>
      <c r="E179" s="15">
        <v>13</v>
      </c>
      <c r="F179" s="15">
        <v>15728</v>
      </c>
      <c r="G179" s="16">
        <f>'Data File'!$F179*'Data File'!$E179</f>
        <v>204464</v>
      </c>
    </row>
    <row r="180" spans="1:7" x14ac:dyDescent="0.35">
      <c r="A180" s="11">
        <v>44991.856851851851</v>
      </c>
      <c r="B180" s="12" t="s">
        <v>13</v>
      </c>
      <c r="C180" s="12" t="s">
        <v>8</v>
      </c>
      <c r="D180" s="12" t="s">
        <v>16</v>
      </c>
      <c r="E180" s="12">
        <v>3</v>
      </c>
      <c r="F180" s="12">
        <v>25583</v>
      </c>
      <c r="G180" s="13">
        <f>'Data File'!$F180*'Data File'!$E180</f>
        <v>76749</v>
      </c>
    </row>
    <row r="181" spans="1:7" x14ac:dyDescent="0.35">
      <c r="A181" s="14">
        <v>44992.221226851849</v>
      </c>
      <c r="B181" s="15" t="s">
        <v>6</v>
      </c>
      <c r="C181" s="15" t="s">
        <v>8</v>
      </c>
      <c r="D181" s="15" t="s">
        <v>18</v>
      </c>
      <c r="E181" s="15">
        <v>18</v>
      </c>
      <c r="F181" s="15">
        <v>12263</v>
      </c>
      <c r="G181" s="16">
        <f>'Data File'!$F181*'Data File'!$E181</f>
        <v>220734</v>
      </c>
    </row>
    <row r="182" spans="1:7" x14ac:dyDescent="0.35">
      <c r="A182" s="11">
        <v>44992.585590277777</v>
      </c>
      <c r="B182" s="12" t="s">
        <v>13</v>
      </c>
      <c r="C182" s="12" t="s">
        <v>11</v>
      </c>
      <c r="D182" s="12" t="s">
        <v>19</v>
      </c>
      <c r="E182" s="12">
        <v>11</v>
      </c>
      <c r="F182" s="12">
        <v>72450</v>
      </c>
      <c r="G182" s="13">
        <f>'Data File'!$F182*'Data File'!$E182</f>
        <v>796950</v>
      </c>
    </row>
    <row r="183" spans="1:7" x14ac:dyDescent="0.35">
      <c r="A183" s="14">
        <v>44992.949953703705</v>
      </c>
      <c r="B183" s="15" t="s">
        <v>6</v>
      </c>
      <c r="C183" s="15" t="s">
        <v>10</v>
      </c>
      <c r="D183" s="15" t="s">
        <v>17</v>
      </c>
      <c r="E183" s="15">
        <v>8</v>
      </c>
      <c r="F183" s="15">
        <v>24456</v>
      </c>
      <c r="G183" s="16">
        <f>'Data File'!$F183*'Data File'!$E183</f>
        <v>195648</v>
      </c>
    </row>
    <row r="184" spans="1:7" x14ac:dyDescent="0.35">
      <c r="A184" s="11">
        <v>44993.314317129632</v>
      </c>
      <c r="B184" s="12" t="s">
        <v>12</v>
      </c>
      <c r="C184" s="12" t="s">
        <v>8</v>
      </c>
      <c r="D184" s="12" t="s">
        <v>19</v>
      </c>
      <c r="E184" s="12">
        <v>6</v>
      </c>
      <c r="F184" s="12">
        <v>70942</v>
      </c>
      <c r="G184" s="13">
        <f>'Data File'!$F184*'Data File'!$E184</f>
        <v>425652</v>
      </c>
    </row>
    <row r="185" spans="1:7" x14ac:dyDescent="0.35">
      <c r="A185" s="14">
        <v>44993.678680555553</v>
      </c>
      <c r="B185" s="15" t="s">
        <v>6</v>
      </c>
      <c r="C185" s="15" t="s">
        <v>8</v>
      </c>
      <c r="D185" s="15" t="s">
        <v>14</v>
      </c>
      <c r="E185" s="15">
        <v>1</v>
      </c>
      <c r="F185" s="15">
        <v>18689</v>
      </c>
      <c r="G185" s="16">
        <f>'Data File'!$F185*'Data File'!$E185</f>
        <v>18689</v>
      </c>
    </row>
    <row r="186" spans="1:7" x14ac:dyDescent="0.35">
      <c r="A186" s="11">
        <v>44994.043043981481</v>
      </c>
      <c r="B186" s="12" t="s">
        <v>13</v>
      </c>
      <c r="C186" s="12" t="s">
        <v>9</v>
      </c>
      <c r="D186" s="12" t="s">
        <v>16</v>
      </c>
      <c r="E186" s="12">
        <v>1</v>
      </c>
      <c r="F186" s="12">
        <v>37934</v>
      </c>
      <c r="G186" s="13">
        <f>'Data File'!$F186*'Data File'!$E186</f>
        <v>37934</v>
      </c>
    </row>
    <row r="187" spans="1:7" x14ac:dyDescent="0.35">
      <c r="A187" s="14">
        <v>44994.407407407409</v>
      </c>
      <c r="B187" s="15" t="s">
        <v>13</v>
      </c>
      <c r="C187" s="15" t="s">
        <v>10</v>
      </c>
      <c r="D187" s="15" t="s">
        <v>18</v>
      </c>
      <c r="E187" s="15">
        <v>8</v>
      </c>
      <c r="F187" s="15">
        <v>38276</v>
      </c>
      <c r="G187" s="16">
        <f>'Data File'!$F187*'Data File'!$E187</f>
        <v>306208</v>
      </c>
    </row>
    <row r="188" spans="1:7" x14ac:dyDescent="0.35">
      <c r="A188" s="11">
        <v>44994.771770833337</v>
      </c>
      <c r="B188" s="12" t="s">
        <v>12</v>
      </c>
      <c r="C188" s="12" t="s">
        <v>8</v>
      </c>
      <c r="D188" s="12" t="s">
        <v>19</v>
      </c>
      <c r="E188" s="12">
        <v>5</v>
      </c>
      <c r="F188" s="12">
        <v>24873</v>
      </c>
      <c r="G188" s="13">
        <f>'Data File'!$F188*'Data File'!$E188</f>
        <v>124365</v>
      </c>
    </row>
    <row r="189" spans="1:7" x14ac:dyDescent="0.35">
      <c r="A189" s="14">
        <v>44995.136134259257</v>
      </c>
      <c r="B189" s="15" t="s">
        <v>6</v>
      </c>
      <c r="C189" s="15" t="s">
        <v>10</v>
      </c>
      <c r="D189" s="15" t="s">
        <v>16</v>
      </c>
      <c r="E189" s="15">
        <v>16</v>
      </c>
      <c r="F189" s="15">
        <v>18050</v>
      </c>
      <c r="G189" s="16">
        <f>'Data File'!$F189*'Data File'!$E189</f>
        <v>288800</v>
      </c>
    </row>
    <row r="190" spans="1:7" x14ac:dyDescent="0.35">
      <c r="A190" s="11">
        <v>44995.500497685185</v>
      </c>
      <c r="B190" s="12" t="s">
        <v>6</v>
      </c>
      <c r="C190" s="12" t="s">
        <v>11</v>
      </c>
      <c r="D190" s="12" t="s">
        <v>14</v>
      </c>
      <c r="E190" s="12">
        <v>11</v>
      </c>
      <c r="F190" s="12">
        <v>71216</v>
      </c>
      <c r="G190" s="13">
        <f>'Data File'!$F190*'Data File'!$E190</f>
        <v>783376</v>
      </c>
    </row>
    <row r="191" spans="1:7" x14ac:dyDescent="0.35">
      <c r="A191" s="14">
        <v>44995.864861111113</v>
      </c>
      <c r="B191" s="15" t="s">
        <v>12</v>
      </c>
      <c r="C191" s="15" t="s">
        <v>21</v>
      </c>
      <c r="D191" s="15" t="s">
        <v>15</v>
      </c>
      <c r="E191" s="15">
        <v>5</v>
      </c>
      <c r="F191" s="15">
        <v>26644</v>
      </c>
      <c r="G191" s="16">
        <f>'Data File'!$F191*'Data File'!$E191</f>
        <v>133220</v>
      </c>
    </row>
    <row r="192" spans="1:7" x14ac:dyDescent="0.35">
      <c r="A192" s="11">
        <v>44996.229224537034</v>
      </c>
      <c r="B192" s="12" t="s">
        <v>6</v>
      </c>
      <c r="C192" s="12" t="s">
        <v>8</v>
      </c>
      <c r="D192" s="12" t="s">
        <v>17</v>
      </c>
      <c r="E192" s="12">
        <v>4</v>
      </c>
      <c r="F192" s="12">
        <v>67021</v>
      </c>
      <c r="G192" s="13">
        <f>'Data File'!$F192*'Data File'!$E192</f>
        <v>268084</v>
      </c>
    </row>
    <row r="193" spans="1:7" x14ac:dyDescent="0.35">
      <c r="A193" s="14">
        <v>44996.593587962961</v>
      </c>
      <c r="B193" s="15" t="s">
        <v>6</v>
      </c>
      <c r="C193" s="15" t="s">
        <v>9</v>
      </c>
      <c r="D193" s="15" t="s">
        <v>16</v>
      </c>
      <c r="E193" s="15">
        <v>6</v>
      </c>
      <c r="F193" s="15">
        <v>42125</v>
      </c>
      <c r="G193" s="16">
        <f>'Data File'!$F193*'Data File'!$E193</f>
        <v>252750</v>
      </c>
    </row>
    <row r="194" spans="1:7" x14ac:dyDescent="0.35">
      <c r="A194" s="11">
        <v>44996.957962962966</v>
      </c>
      <c r="B194" s="12" t="s">
        <v>13</v>
      </c>
      <c r="C194" s="12" t="s">
        <v>11</v>
      </c>
      <c r="D194" s="12" t="s">
        <v>16</v>
      </c>
      <c r="E194" s="12">
        <v>14</v>
      </c>
      <c r="F194" s="12">
        <v>71899</v>
      </c>
      <c r="G194" s="13">
        <f>'Data File'!$F194*'Data File'!$E194</f>
        <v>1006586</v>
      </c>
    </row>
    <row r="195" spans="1:7" x14ac:dyDescent="0.35">
      <c r="A195" s="14">
        <v>44997.322326388887</v>
      </c>
      <c r="B195" s="15" t="s">
        <v>6</v>
      </c>
      <c r="C195" s="15" t="s">
        <v>10</v>
      </c>
      <c r="D195" s="15" t="s">
        <v>15</v>
      </c>
      <c r="E195" s="15">
        <v>19</v>
      </c>
      <c r="F195" s="15">
        <v>47291</v>
      </c>
      <c r="G195" s="16">
        <f>'Data File'!$F195*'Data File'!$E195</f>
        <v>898529</v>
      </c>
    </row>
    <row r="196" spans="1:7" x14ac:dyDescent="0.35">
      <c r="A196" s="11">
        <v>44997.686689814815</v>
      </c>
      <c r="B196" s="12" t="s">
        <v>6</v>
      </c>
      <c r="C196" s="12" t="s">
        <v>11</v>
      </c>
      <c r="D196" s="12" t="s">
        <v>16</v>
      </c>
      <c r="E196" s="12">
        <v>9</v>
      </c>
      <c r="F196" s="12">
        <v>40060</v>
      </c>
      <c r="G196" s="13">
        <f>'Data File'!$F196*'Data File'!$E196</f>
        <v>360540</v>
      </c>
    </row>
    <row r="197" spans="1:7" x14ac:dyDescent="0.35">
      <c r="A197" s="14">
        <v>44998.051053240742</v>
      </c>
      <c r="B197" s="15" t="s">
        <v>12</v>
      </c>
      <c r="C197" s="15" t="s">
        <v>8</v>
      </c>
      <c r="D197" s="15" t="s">
        <v>14</v>
      </c>
      <c r="E197" s="15">
        <v>12</v>
      </c>
      <c r="F197" s="15">
        <v>6538</v>
      </c>
      <c r="G197" s="16">
        <f>'Data File'!$F197*'Data File'!$E197</f>
        <v>78456</v>
      </c>
    </row>
    <row r="198" spans="1:7" x14ac:dyDescent="0.35">
      <c r="A198" s="11">
        <v>44998.415416666663</v>
      </c>
      <c r="B198" s="12" t="s">
        <v>12</v>
      </c>
      <c r="C198" s="12" t="s">
        <v>10</v>
      </c>
      <c r="D198" s="12" t="s">
        <v>14</v>
      </c>
      <c r="E198" s="12">
        <v>11</v>
      </c>
      <c r="F198" s="12">
        <v>41176</v>
      </c>
      <c r="G198" s="13">
        <f>'Data File'!$F198*'Data File'!$E198</f>
        <v>452936</v>
      </c>
    </row>
    <row r="199" spans="1:7" x14ac:dyDescent="0.35">
      <c r="A199" s="14">
        <v>44998.779780092591</v>
      </c>
      <c r="B199" s="15" t="s">
        <v>7</v>
      </c>
      <c r="C199" s="15" t="s">
        <v>21</v>
      </c>
      <c r="D199" s="15" t="s">
        <v>15</v>
      </c>
      <c r="E199" s="15">
        <v>14</v>
      </c>
      <c r="F199" s="15">
        <v>46520</v>
      </c>
      <c r="G199" s="16">
        <f>'Data File'!$F199*'Data File'!$E199</f>
        <v>651280</v>
      </c>
    </row>
    <row r="200" spans="1:7" x14ac:dyDescent="0.35">
      <c r="A200" s="11">
        <v>44999.144143518519</v>
      </c>
      <c r="B200" s="12" t="s">
        <v>13</v>
      </c>
      <c r="C200" s="12" t="s">
        <v>11</v>
      </c>
      <c r="D200" s="12" t="s">
        <v>17</v>
      </c>
      <c r="E200" s="12">
        <v>16</v>
      </c>
      <c r="F200" s="12">
        <v>30675</v>
      </c>
      <c r="G200" s="13">
        <f>'Data File'!$F200*'Data File'!$E200</f>
        <v>490800</v>
      </c>
    </row>
    <row r="201" spans="1:7" x14ac:dyDescent="0.35">
      <c r="A201" s="14">
        <v>44999.508506944447</v>
      </c>
      <c r="B201" s="15" t="s">
        <v>6</v>
      </c>
      <c r="C201" s="15" t="s">
        <v>8</v>
      </c>
      <c r="D201" s="15" t="s">
        <v>18</v>
      </c>
      <c r="E201" s="15">
        <v>1</v>
      </c>
      <c r="F201" s="15">
        <v>23287</v>
      </c>
      <c r="G201" s="16">
        <f>'Data File'!$F201*'Data File'!$E201</f>
        <v>23287</v>
      </c>
    </row>
    <row r="202" spans="1:7" x14ac:dyDescent="0.35">
      <c r="A202" s="11">
        <v>44999.872870370367</v>
      </c>
      <c r="B202" s="12" t="s">
        <v>6</v>
      </c>
      <c r="C202" s="12" t="s">
        <v>9</v>
      </c>
      <c r="D202" s="12" t="s">
        <v>19</v>
      </c>
      <c r="E202" s="12">
        <v>13</v>
      </c>
      <c r="F202" s="12">
        <v>5174</v>
      </c>
      <c r="G202" s="13">
        <f>'Data File'!$F202*'Data File'!$E202</f>
        <v>67262</v>
      </c>
    </row>
    <row r="203" spans="1:7" x14ac:dyDescent="0.35">
      <c r="A203" s="14">
        <v>45000.237233796295</v>
      </c>
      <c r="B203" s="15" t="s">
        <v>7</v>
      </c>
      <c r="C203" s="15" t="s">
        <v>10</v>
      </c>
      <c r="D203" s="15" t="s">
        <v>18</v>
      </c>
      <c r="E203" s="15">
        <v>13</v>
      </c>
      <c r="F203" s="15">
        <v>39998</v>
      </c>
      <c r="G203" s="16">
        <f>'Data File'!$F203*'Data File'!$E203</f>
        <v>519974</v>
      </c>
    </row>
    <row r="204" spans="1:7" x14ac:dyDescent="0.35">
      <c r="A204" s="11">
        <v>45000.601597222223</v>
      </c>
      <c r="B204" s="12" t="s">
        <v>6</v>
      </c>
      <c r="C204" s="12" t="s">
        <v>11</v>
      </c>
      <c r="D204" s="12" t="s">
        <v>16</v>
      </c>
      <c r="E204" s="12">
        <v>2</v>
      </c>
      <c r="F204" s="12">
        <v>58312</v>
      </c>
      <c r="G204" s="13">
        <f>'Data File'!$F204*'Data File'!$E204</f>
        <v>116624</v>
      </c>
    </row>
    <row r="205" spans="1:7" x14ac:dyDescent="0.35">
      <c r="A205" s="14">
        <v>45000.965960648151</v>
      </c>
      <c r="B205" s="15" t="s">
        <v>13</v>
      </c>
      <c r="C205" s="15" t="s">
        <v>11</v>
      </c>
      <c r="D205" s="15" t="s">
        <v>19</v>
      </c>
      <c r="E205" s="15">
        <v>4</v>
      </c>
      <c r="F205" s="15">
        <v>17112</v>
      </c>
      <c r="G205" s="16">
        <f>'Data File'!$F205*'Data File'!$E205</f>
        <v>68448</v>
      </c>
    </row>
    <row r="206" spans="1:7" x14ac:dyDescent="0.35">
      <c r="A206" s="11">
        <v>45001.330335648148</v>
      </c>
      <c r="B206" s="12" t="s">
        <v>7</v>
      </c>
      <c r="C206" s="12" t="s">
        <v>21</v>
      </c>
      <c r="D206" s="12" t="s">
        <v>15</v>
      </c>
      <c r="E206" s="12">
        <v>6</v>
      </c>
      <c r="F206" s="12">
        <v>49814</v>
      </c>
      <c r="G206" s="13">
        <f>'Data File'!$F206*'Data File'!$E206</f>
        <v>298884</v>
      </c>
    </row>
    <row r="207" spans="1:7" x14ac:dyDescent="0.35">
      <c r="A207" s="14">
        <v>45001.694699074076</v>
      </c>
      <c r="B207" s="15" t="s">
        <v>13</v>
      </c>
      <c r="C207" s="15" t="s">
        <v>21</v>
      </c>
      <c r="D207" s="15" t="s">
        <v>15</v>
      </c>
      <c r="E207" s="15">
        <v>5</v>
      </c>
      <c r="F207" s="15">
        <v>55719</v>
      </c>
      <c r="G207" s="16">
        <f>'Data File'!$F207*'Data File'!$E207</f>
        <v>278595</v>
      </c>
    </row>
    <row r="208" spans="1:7" x14ac:dyDescent="0.35">
      <c r="A208" s="11">
        <v>45002.059062499997</v>
      </c>
      <c r="B208" s="12" t="s">
        <v>7</v>
      </c>
      <c r="C208" s="12" t="s">
        <v>9</v>
      </c>
      <c r="D208" s="12" t="s">
        <v>17</v>
      </c>
      <c r="E208" s="12">
        <v>3</v>
      </c>
      <c r="F208" s="12">
        <v>38919</v>
      </c>
      <c r="G208" s="13">
        <f>'Data File'!$F208*'Data File'!$E208</f>
        <v>116757</v>
      </c>
    </row>
    <row r="209" spans="1:7" x14ac:dyDescent="0.35">
      <c r="A209" s="14">
        <v>45002.423425925925</v>
      </c>
      <c r="B209" s="15" t="s">
        <v>7</v>
      </c>
      <c r="C209" s="15" t="s">
        <v>9</v>
      </c>
      <c r="D209" s="15" t="s">
        <v>19</v>
      </c>
      <c r="E209" s="15">
        <v>1</v>
      </c>
      <c r="F209" s="15">
        <v>46328</v>
      </c>
      <c r="G209" s="16">
        <f>'Data File'!$F209*'Data File'!$E209</f>
        <v>46328</v>
      </c>
    </row>
    <row r="210" spans="1:7" x14ac:dyDescent="0.35">
      <c r="A210" s="11">
        <v>45002.787789351853</v>
      </c>
      <c r="B210" s="12" t="s">
        <v>12</v>
      </c>
      <c r="C210" s="12" t="s">
        <v>8</v>
      </c>
      <c r="D210" s="12" t="s">
        <v>14</v>
      </c>
      <c r="E210" s="12">
        <v>4</v>
      </c>
      <c r="F210" s="12">
        <v>29618</v>
      </c>
      <c r="G210" s="13">
        <f>'Data File'!$F210*'Data File'!$E210</f>
        <v>118472</v>
      </c>
    </row>
    <row r="211" spans="1:7" x14ac:dyDescent="0.35">
      <c r="A211" s="14">
        <v>45003.15215277778</v>
      </c>
      <c r="B211" s="15" t="s">
        <v>13</v>
      </c>
      <c r="C211" s="15" t="s">
        <v>8</v>
      </c>
      <c r="D211" s="15" t="s">
        <v>19</v>
      </c>
      <c r="E211" s="15">
        <v>2</v>
      </c>
      <c r="F211" s="15">
        <v>39675</v>
      </c>
      <c r="G211" s="16">
        <f>'Data File'!$F211*'Data File'!$E211</f>
        <v>79350</v>
      </c>
    </row>
    <row r="212" spans="1:7" x14ac:dyDescent="0.35">
      <c r="A212" s="11">
        <v>45003.516516203701</v>
      </c>
      <c r="B212" s="12" t="s">
        <v>6</v>
      </c>
      <c r="C212" s="12" t="s">
        <v>9</v>
      </c>
      <c r="D212" s="12" t="s">
        <v>16</v>
      </c>
      <c r="E212" s="12">
        <v>5</v>
      </c>
      <c r="F212" s="12">
        <v>23919</v>
      </c>
      <c r="G212" s="13">
        <f>'Data File'!$F212*'Data File'!$E212</f>
        <v>119595</v>
      </c>
    </row>
    <row r="213" spans="1:7" x14ac:dyDescent="0.35">
      <c r="A213" s="14">
        <v>45003.880879629629</v>
      </c>
      <c r="B213" s="15" t="s">
        <v>6</v>
      </c>
      <c r="C213" s="15" t="s">
        <v>9</v>
      </c>
      <c r="D213" s="15" t="s">
        <v>14</v>
      </c>
      <c r="E213" s="15">
        <v>3</v>
      </c>
      <c r="F213" s="15">
        <v>9173</v>
      </c>
      <c r="G213" s="16">
        <f>'Data File'!$F213*'Data File'!$E213</f>
        <v>27519</v>
      </c>
    </row>
    <row r="214" spans="1:7" x14ac:dyDescent="0.35">
      <c r="A214" s="11">
        <v>45004.245243055557</v>
      </c>
      <c r="B214" s="12" t="s">
        <v>13</v>
      </c>
      <c r="C214" s="12" t="s">
        <v>10</v>
      </c>
      <c r="D214" s="12" t="s">
        <v>15</v>
      </c>
      <c r="E214" s="12">
        <v>9</v>
      </c>
      <c r="F214" s="12">
        <v>31400</v>
      </c>
      <c r="G214" s="13">
        <f>'Data File'!$F214*'Data File'!$E214</f>
        <v>282600</v>
      </c>
    </row>
    <row r="215" spans="1:7" x14ac:dyDescent="0.35">
      <c r="A215" s="14">
        <v>45004.609606481485</v>
      </c>
      <c r="B215" s="15" t="s">
        <v>6</v>
      </c>
      <c r="C215" s="15" t="s">
        <v>21</v>
      </c>
      <c r="D215" s="15" t="s">
        <v>19</v>
      </c>
      <c r="E215" s="15">
        <v>6</v>
      </c>
      <c r="F215" s="15">
        <v>55445</v>
      </c>
      <c r="G215" s="16">
        <f>'Data File'!$F215*'Data File'!$E215</f>
        <v>332670</v>
      </c>
    </row>
    <row r="216" spans="1:7" x14ac:dyDescent="0.35">
      <c r="A216" s="11">
        <v>45004.973969907405</v>
      </c>
      <c r="B216" s="12" t="s">
        <v>6</v>
      </c>
      <c r="C216" s="12" t="s">
        <v>8</v>
      </c>
      <c r="D216" s="12" t="s">
        <v>18</v>
      </c>
      <c r="E216" s="12">
        <v>18</v>
      </c>
      <c r="F216" s="12">
        <v>42564</v>
      </c>
      <c r="G216" s="13">
        <f>'Data File'!$F216*'Data File'!$E216</f>
        <v>766152</v>
      </c>
    </row>
    <row r="217" spans="1:7" x14ac:dyDescent="0.35">
      <c r="A217" s="14">
        <v>45005.338333333333</v>
      </c>
      <c r="B217" s="15" t="s">
        <v>13</v>
      </c>
      <c r="C217" s="15" t="s">
        <v>21</v>
      </c>
      <c r="D217" s="15" t="s">
        <v>17</v>
      </c>
      <c r="E217" s="15">
        <v>6</v>
      </c>
      <c r="F217" s="15">
        <v>50814</v>
      </c>
      <c r="G217" s="16">
        <f>'Data File'!$F217*'Data File'!$E217</f>
        <v>304884</v>
      </c>
    </row>
    <row r="218" spans="1:7" x14ac:dyDescent="0.35">
      <c r="A218" s="11">
        <v>45005.702708333331</v>
      </c>
      <c r="B218" s="12" t="s">
        <v>7</v>
      </c>
      <c r="C218" s="12" t="s">
        <v>21</v>
      </c>
      <c r="D218" s="12" t="s">
        <v>18</v>
      </c>
      <c r="E218" s="12">
        <v>19</v>
      </c>
      <c r="F218" s="12">
        <v>32962</v>
      </c>
      <c r="G218" s="13">
        <f>'Data File'!$F218*'Data File'!$E218</f>
        <v>626278</v>
      </c>
    </row>
    <row r="219" spans="1:7" x14ac:dyDescent="0.35">
      <c r="A219" s="14">
        <v>45006.067071759258</v>
      </c>
      <c r="B219" s="15" t="s">
        <v>13</v>
      </c>
      <c r="C219" s="15" t="s">
        <v>9</v>
      </c>
      <c r="D219" s="15" t="s">
        <v>17</v>
      </c>
      <c r="E219" s="15">
        <v>12</v>
      </c>
      <c r="F219" s="15">
        <v>61184</v>
      </c>
      <c r="G219" s="16">
        <f>'Data File'!$F219*'Data File'!$E219</f>
        <v>734208</v>
      </c>
    </row>
    <row r="220" spans="1:7" x14ac:dyDescent="0.35">
      <c r="A220" s="11">
        <v>45006.431435185186</v>
      </c>
      <c r="B220" s="12" t="s">
        <v>7</v>
      </c>
      <c r="C220" s="12" t="s">
        <v>10</v>
      </c>
      <c r="D220" s="12" t="s">
        <v>16</v>
      </c>
      <c r="E220" s="12">
        <v>11</v>
      </c>
      <c r="F220" s="12">
        <v>15578</v>
      </c>
      <c r="G220" s="13">
        <f>'Data File'!$F220*'Data File'!$E220</f>
        <v>171358</v>
      </c>
    </row>
    <row r="221" spans="1:7" x14ac:dyDescent="0.35">
      <c r="A221" s="14">
        <v>45006.795798611114</v>
      </c>
      <c r="B221" s="15" t="s">
        <v>6</v>
      </c>
      <c r="C221" s="15" t="s">
        <v>11</v>
      </c>
      <c r="D221" s="15" t="s">
        <v>18</v>
      </c>
      <c r="E221" s="15">
        <v>2</v>
      </c>
      <c r="F221" s="15">
        <v>23624</v>
      </c>
      <c r="G221" s="16">
        <f>'Data File'!$F221*'Data File'!$E221</f>
        <v>47248</v>
      </c>
    </row>
    <row r="222" spans="1:7" x14ac:dyDescent="0.35">
      <c r="A222" s="11">
        <v>45007.160162037035</v>
      </c>
      <c r="B222" s="12" t="s">
        <v>6</v>
      </c>
      <c r="C222" s="12" t="s">
        <v>10</v>
      </c>
      <c r="D222" s="12" t="s">
        <v>19</v>
      </c>
      <c r="E222" s="12">
        <v>15</v>
      </c>
      <c r="F222" s="12">
        <v>44194</v>
      </c>
      <c r="G222" s="13">
        <f>'Data File'!$F222*'Data File'!$E222</f>
        <v>662910</v>
      </c>
    </row>
    <row r="223" spans="1:7" x14ac:dyDescent="0.35">
      <c r="A223" s="14">
        <v>45007.524525462963</v>
      </c>
      <c r="B223" s="15" t="s">
        <v>6</v>
      </c>
      <c r="C223" s="15" t="s">
        <v>10</v>
      </c>
      <c r="D223" s="15" t="s">
        <v>19</v>
      </c>
      <c r="E223" s="15">
        <v>12</v>
      </c>
      <c r="F223" s="15">
        <v>5389</v>
      </c>
      <c r="G223" s="16">
        <f>'Data File'!$F223*'Data File'!$E223</f>
        <v>64668</v>
      </c>
    </row>
    <row r="224" spans="1:7" x14ac:dyDescent="0.35">
      <c r="A224" s="11">
        <v>45007.888888888891</v>
      </c>
      <c r="B224" s="12" t="s">
        <v>12</v>
      </c>
      <c r="C224" s="12" t="s">
        <v>21</v>
      </c>
      <c r="D224" s="12" t="s">
        <v>18</v>
      </c>
      <c r="E224" s="12">
        <v>12</v>
      </c>
      <c r="F224" s="12">
        <v>72391</v>
      </c>
      <c r="G224" s="13">
        <f>'Data File'!$F224*'Data File'!$E224</f>
        <v>868692</v>
      </c>
    </row>
    <row r="225" spans="1:7" x14ac:dyDescent="0.35">
      <c r="A225" s="14">
        <v>45008.253252314818</v>
      </c>
      <c r="B225" s="15" t="s">
        <v>7</v>
      </c>
      <c r="C225" s="15" t="s">
        <v>10</v>
      </c>
      <c r="D225" s="15" t="s">
        <v>19</v>
      </c>
      <c r="E225" s="15">
        <v>9</v>
      </c>
      <c r="F225" s="15">
        <v>18794</v>
      </c>
      <c r="G225" s="16">
        <f>'Data File'!$F225*'Data File'!$E225</f>
        <v>169146</v>
      </c>
    </row>
    <row r="226" spans="1:7" x14ac:dyDescent="0.35">
      <c r="A226" s="11">
        <v>45008.617615740739</v>
      </c>
      <c r="B226" s="12" t="s">
        <v>12</v>
      </c>
      <c r="C226" s="12" t="s">
        <v>8</v>
      </c>
      <c r="D226" s="12" t="s">
        <v>16</v>
      </c>
      <c r="E226" s="12">
        <v>2</v>
      </c>
      <c r="F226" s="12">
        <v>63002</v>
      </c>
      <c r="G226" s="13">
        <f>'Data File'!$F226*'Data File'!$E226</f>
        <v>126004</v>
      </c>
    </row>
    <row r="227" spans="1:7" x14ac:dyDescent="0.35">
      <c r="A227" s="14">
        <v>45008.981979166667</v>
      </c>
      <c r="B227" s="15" t="s">
        <v>12</v>
      </c>
      <c r="C227" s="15" t="s">
        <v>21</v>
      </c>
      <c r="D227" s="15" t="s">
        <v>14</v>
      </c>
      <c r="E227" s="15">
        <v>3</v>
      </c>
      <c r="F227" s="15">
        <v>40531</v>
      </c>
      <c r="G227" s="16">
        <f>'Data File'!$F227*'Data File'!$E227</f>
        <v>121593</v>
      </c>
    </row>
    <row r="228" spans="1:7" x14ac:dyDescent="0.35">
      <c r="A228" s="11">
        <v>45009.346342592595</v>
      </c>
      <c r="B228" s="12" t="s">
        <v>13</v>
      </c>
      <c r="C228" s="12" t="s">
        <v>8</v>
      </c>
      <c r="D228" s="12" t="s">
        <v>16</v>
      </c>
      <c r="E228" s="12">
        <v>12</v>
      </c>
      <c r="F228" s="12">
        <v>57815</v>
      </c>
      <c r="G228" s="13">
        <f>'Data File'!$F228*'Data File'!$E228</f>
        <v>693780</v>
      </c>
    </row>
    <row r="229" spans="1:7" x14ac:dyDescent="0.35">
      <c r="A229" s="14">
        <v>45009.710706018515</v>
      </c>
      <c r="B229" s="15" t="s">
        <v>12</v>
      </c>
      <c r="C229" s="15" t="s">
        <v>11</v>
      </c>
      <c r="D229" s="15" t="s">
        <v>17</v>
      </c>
      <c r="E229" s="15">
        <v>16</v>
      </c>
      <c r="F229" s="15">
        <v>9986</v>
      </c>
      <c r="G229" s="16">
        <f>'Data File'!$F229*'Data File'!$E229</f>
        <v>159776</v>
      </c>
    </row>
    <row r="230" spans="1:7" x14ac:dyDescent="0.35">
      <c r="A230" s="11">
        <v>45010.075069444443</v>
      </c>
      <c r="B230" s="12" t="s">
        <v>13</v>
      </c>
      <c r="C230" s="12" t="s">
        <v>21</v>
      </c>
      <c r="D230" s="12" t="s">
        <v>16</v>
      </c>
      <c r="E230" s="12">
        <v>1</v>
      </c>
      <c r="F230" s="12">
        <v>37298</v>
      </c>
      <c r="G230" s="13">
        <f>'Data File'!$F230*'Data File'!$E230</f>
        <v>37298</v>
      </c>
    </row>
    <row r="231" spans="1:7" x14ac:dyDescent="0.35">
      <c r="A231" s="14">
        <v>45010.439444444448</v>
      </c>
      <c r="B231" s="15" t="s">
        <v>13</v>
      </c>
      <c r="C231" s="15" t="s">
        <v>11</v>
      </c>
      <c r="D231" s="15" t="s">
        <v>17</v>
      </c>
      <c r="E231" s="15">
        <v>3</v>
      </c>
      <c r="F231" s="15">
        <v>6481</v>
      </c>
      <c r="G231" s="16">
        <f>'Data File'!$F231*'Data File'!$E231</f>
        <v>19443</v>
      </c>
    </row>
    <row r="232" spans="1:7" x14ac:dyDescent="0.35">
      <c r="A232" s="11">
        <v>45010.803807870368</v>
      </c>
      <c r="B232" s="12" t="s">
        <v>12</v>
      </c>
      <c r="C232" s="12" t="s">
        <v>21</v>
      </c>
      <c r="D232" s="12" t="s">
        <v>19</v>
      </c>
      <c r="E232" s="12">
        <v>2</v>
      </c>
      <c r="F232" s="12">
        <v>61408</v>
      </c>
      <c r="G232" s="13">
        <f>'Data File'!$F232*'Data File'!$E232</f>
        <v>122816</v>
      </c>
    </row>
    <row r="233" spans="1:7" x14ac:dyDescent="0.35">
      <c r="A233" s="14">
        <v>45011.168171296296</v>
      </c>
      <c r="B233" s="15" t="s">
        <v>7</v>
      </c>
      <c r="C233" s="15" t="s">
        <v>9</v>
      </c>
      <c r="D233" s="15" t="s">
        <v>14</v>
      </c>
      <c r="E233" s="15">
        <v>9</v>
      </c>
      <c r="F233" s="15">
        <v>74267</v>
      </c>
      <c r="G233" s="16">
        <f>'Data File'!$F233*'Data File'!$E233</f>
        <v>668403</v>
      </c>
    </row>
    <row r="234" spans="1:7" x14ac:dyDescent="0.35">
      <c r="A234" s="11">
        <v>45011.532534722224</v>
      </c>
      <c r="B234" s="12" t="s">
        <v>7</v>
      </c>
      <c r="C234" s="12" t="s">
        <v>10</v>
      </c>
      <c r="D234" s="12" t="s">
        <v>19</v>
      </c>
      <c r="E234" s="12">
        <v>19</v>
      </c>
      <c r="F234" s="12">
        <v>21835</v>
      </c>
      <c r="G234" s="13">
        <f>'Data File'!$F234*'Data File'!$E234</f>
        <v>414865</v>
      </c>
    </row>
    <row r="235" spans="1:7" x14ac:dyDescent="0.35">
      <c r="A235" s="14">
        <v>45011.896898148145</v>
      </c>
      <c r="B235" s="15" t="s">
        <v>7</v>
      </c>
      <c r="C235" s="15" t="s">
        <v>9</v>
      </c>
      <c r="D235" s="15" t="s">
        <v>15</v>
      </c>
      <c r="E235" s="15">
        <v>15</v>
      </c>
      <c r="F235" s="15">
        <v>32798</v>
      </c>
      <c r="G235" s="16">
        <f>'Data File'!$F235*'Data File'!$E235</f>
        <v>491970</v>
      </c>
    </row>
    <row r="236" spans="1:7" x14ac:dyDescent="0.35">
      <c r="A236" s="11">
        <v>45012.261261574073</v>
      </c>
      <c r="B236" s="12" t="s">
        <v>7</v>
      </c>
      <c r="C236" s="12" t="s">
        <v>11</v>
      </c>
      <c r="D236" s="12" t="s">
        <v>19</v>
      </c>
      <c r="E236" s="12">
        <v>18</v>
      </c>
      <c r="F236" s="12">
        <v>69887</v>
      </c>
      <c r="G236" s="13">
        <f>'Data File'!$F236*'Data File'!$E236</f>
        <v>1257966</v>
      </c>
    </row>
    <row r="237" spans="1:7" x14ac:dyDescent="0.35">
      <c r="A237" s="14">
        <v>45012.625625000001</v>
      </c>
      <c r="B237" s="15" t="s">
        <v>7</v>
      </c>
      <c r="C237" s="15" t="s">
        <v>10</v>
      </c>
      <c r="D237" s="15" t="s">
        <v>17</v>
      </c>
      <c r="E237" s="15">
        <v>11</v>
      </c>
      <c r="F237" s="15">
        <v>24477</v>
      </c>
      <c r="G237" s="16">
        <f>'Data File'!$F237*'Data File'!$E237</f>
        <v>269247</v>
      </c>
    </row>
    <row r="238" spans="1:7" x14ac:dyDescent="0.35">
      <c r="A238" s="11">
        <v>45012.989988425928</v>
      </c>
      <c r="B238" s="12" t="s">
        <v>12</v>
      </c>
      <c r="C238" s="12" t="s">
        <v>21</v>
      </c>
      <c r="D238" s="12" t="s">
        <v>19</v>
      </c>
      <c r="E238" s="12">
        <v>16</v>
      </c>
      <c r="F238" s="12">
        <v>22266</v>
      </c>
      <c r="G238" s="13">
        <f>'Data File'!$F238*'Data File'!$E238</f>
        <v>356256</v>
      </c>
    </row>
    <row r="239" spans="1:7" x14ac:dyDescent="0.35">
      <c r="A239" s="14">
        <v>45013.354351851849</v>
      </c>
      <c r="B239" s="15" t="s">
        <v>12</v>
      </c>
      <c r="C239" s="15" t="s">
        <v>10</v>
      </c>
      <c r="D239" s="15" t="s">
        <v>19</v>
      </c>
      <c r="E239" s="15">
        <v>17</v>
      </c>
      <c r="F239" s="15">
        <v>48526</v>
      </c>
      <c r="G239" s="16">
        <f>'Data File'!$F239*'Data File'!$E239</f>
        <v>824942</v>
      </c>
    </row>
    <row r="240" spans="1:7" x14ac:dyDescent="0.35">
      <c r="A240" s="11">
        <v>45013.718715277777</v>
      </c>
      <c r="B240" s="12" t="s">
        <v>6</v>
      </c>
      <c r="C240" s="12" t="s">
        <v>8</v>
      </c>
      <c r="D240" s="12" t="s">
        <v>14</v>
      </c>
      <c r="E240" s="12">
        <v>5</v>
      </c>
      <c r="F240" s="12">
        <v>16889</v>
      </c>
      <c r="G240" s="13">
        <f>'Data File'!$F240*'Data File'!$E240</f>
        <v>84445</v>
      </c>
    </row>
    <row r="241" spans="1:7" x14ac:dyDescent="0.35">
      <c r="A241" s="14">
        <v>45014.083078703705</v>
      </c>
      <c r="B241" s="15" t="s">
        <v>7</v>
      </c>
      <c r="C241" s="15" t="s">
        <v>10</v>
      </c>
      <c r="D241" s="15" t="s">
        <v>19</v>
      </c>
      <c r="E241" s="15">
        <v>12</v>
      </c>
      <c r="F241" s="15">
        <v>29335</v>
      </c>
      <c r="G241" s="16">
        <f>'Data File'!$F241*'Data File'!$E241</f>
        <v>352020</v>
      </c>
    </row>
    <row r="242" spans="1:7" x14ac:dyDescent="0.35">
      <c r="A242" s="11">
        <v>45014.447442129633</v>
      </c>
      <c r="B242" s="12" t="s">
        <v>12</v>
      </c>
      <c r="C242" s="12" t="s">
        <v>8</v>
      </c>
      <c r="D242" s="12" t="s">
        <v>14</v>
      </c>
      <c r="E242" s="12">
        <v>11</v>
      </c>
      <c r="F242" s="12">
        <v>16254</v>
      </c>
      <c r="G242" s="13">
        <f>'Data File'!$F242*'Data File'!$E242</f>
        <v>178794</v>
      </c>
    </row>
    <row r="243" spans="1:7" x14ac:dyDescent="0.35">
      <c r="A243" s="14">
        <v>45014.81181712963</v>
      </c>
      <c r="B243" s="15" t="s">
        <v>6</v>
      </c>
      <c r="C243" s="15" t="s">
        <v>10</v>
      </c>
      <c r="D243" s="15" t="s">
        <v>18</v>
      </c>
      <c r="E243" s="15">
        <v>15</v>
      </c>
      <c r="F243" s="15">
        <v>16442</v>
      </c>
      <c r="G243" s="16">
        <f>'Data File'!$F243*'Data File'!$E243</f>
        <v>246630</v>
      </c>
    </row>
    <row r="244" spans="1:7" x14ac:dyDescent="0.35">
      <c r="A244" s="11">
        <v>45015.176180555558</v>
      </c>
      <c r="B244" s="12" t="s">
        <v>7</v>
      </c>
      <c r="C244" s="12" t="s">
        <v>8</v>
      </c>
      <c r="D244" s="12" t="s">
        <v>15</v>
      </c>
      <c r="E244" s="12">
        <v>3</v>
      </c>
      <c r="F244" s="12">
        <v>51289</v>
      </c>
      <c r="G244" s="13">
        <f>'Data File'!$F244*'Data File'!$E244</f>
        <v>153867</v>
      </c>
    </row>
    <row r="245" spans="1:7" x14ac:dyDescent="0.35">
      <c r="A245" s="14">
        <v>45015.540543981479</v>
      </c>
      <c r="B245" s="15" t="s">
        <v>13</v>
      </c>
      <c r="C245" s="15" t="s">
        <v>11</v>
      </c>
      <c r="D245" s="15" t="s">
        <v>14</v>
      </c>
      <c r="E245" s="15">
        <v>1</v>
      </c>
      <c r="F245" s="15">
        <v>58747</v>
      </c>
      <c r="G245" s="16">
        <f>'Data File'!$F245*'Data File'!$E245</f>
        <v>58747</v>
      </c>
    </row>
    <row r="246" spans="1:7" x14ac:dyDescent="0.35">
      <c r="A246" s="11">
        <v>45015.904907407406</v>
      </c>
      <c r="B246" s="12" t="s">
        <v>6</v>
      </c>
      <c r="C246" s="12" t="s">
        <v>9</v>
      </c>
      <c r="D246" s="12" t="s">
        <v>17</v>
      </c>
      <c r="E246" s="12">
        <v>16</v>
      </c>
      <c r="F246" s="12">
        <v>42327</v>
      </c>
      <c r="G246" s="13">
        <f>'Data File'!$F246*'Data File'!$E246</f>
        <v>677232</v>
      </c>
    </row>
    <row r="247" spans="1:7" x14ac:dyDescent="0.35">
      <c r="A247" s="14">
        <v>45016.269270833334</v>
      </c>
      <c r="B247" s="15" t="s">
        <v>12</v>
      </c>
      <c r="C247" s="15" t="s">
        <v>21</v>
      </c>
      <c r="D247" s="15" t="s">
        <v>18</v>
      </c>
      <c r="E247" s="15">
        <v>2</v>
      </c>
      <c r="F247" s="15">
        <v>21199</v>
      </c>
      <c r="G247" s="16">
        <f>'Data File'!$F247*'Data File'!$E247</f>
        <v>42398</v>
      </c>
    </row>
    <row r="248" spans="1:7" x14ac:dyDescent="0.35">
      <c r="A248" s="11">
        <v>45016.633634259262</v>
      </c>
      <c r="B248" s="12" t="s">
        <v>13</v>
      </c>
      <c r="C248" s="12" t="s">
        <v>10</v>
      </c>
      <c r="D248" s="12" t="s">
        <v>14</v>
      </c>
      <c r="E248" s="12">
        <v>2</v>
      </c>
      <c r="F248" s="12">
        <v>5112</v>
      </c>
      <c r="G248" s="13">
        <f>'Data File'!$F248*'Data File'!$E248</f>
        <v>10224</v>
      </c>
    </row>
    <row r="249" spans="1:7" x14ac:dyDescent="0.35">
      <c r="A249" s="14">
        <v>45016.997997685183</v>
      </c>
      <c r="B249" s="15" t="s">
        <v>13</v>
      </c>
      <c r="C249" s="15" t="s">
        <v>9</v>
      </c>
      <c r="D249" s="15" t="s">
        <v>14</v>
      </c>
      <c r="E249" s="15">
        <v>3</v>
      </c>
      <c r="F249" s="15">
        <v>24581</v>
      </c>
      <c r="G249" s="16">
        <f>'Data File'!$F249*'Data File'!$E249</f>
        <v>73743</v>
      </c>
    </row>
    <row r="250" spans="1:7" x14ac:dyDescent="0.35">
      <c r="A250" s="11">
        <v>45017.362361111111</v>
      </c>
      <c r="B250" s="12" t="s">
        <v>13</v>
      </c>
      <c r="C250" s="12" t="s">
        <v>21</v>
      </c>
      <c r="D250" s="12" t="s">
        <v>15</v>
      </c>
      <c r="E250" s="12">
        <v>8</v>
      </c>
      <c r="F250" s="12">
        <v>64722</v>
      </c>
      <c r="G250" s="13">
        <f>'Data File'!$F250*'Data File'!$E250</f>
        <v>517776</v>
      </c>
    </row>
    <row r="251" spans="1:7" x14ac:dyDescent="0.35">
      <c r="A251" s="14">
        <v>45017.726724537039</v>
      </c>
      <c r="B251" s="15" t="s">
        <v>6</v>
      </c>
      <c r="C251" s="15" t="s">
        <v>21</v>
      </c>
      <c r="D251" s="15" t="s">
        <v>17</v>
      </c>
      <c r="E251" s="15">
        <v>15</v>
      </c>
      <c r="F251" s="15">
        <v>21523</v>
      </c>
      <c r="G251" s="16">
        <f>'Data File'!$F251*'Data File'!$E251</f>
        <v>322845</v>
      </c>
    </row>
    <row r="252" spans="1:7" x14ac:dyDescent="0.35">
      <c r="A252" s="11">
        <v>45018.091087962966</v>
      </c>
      <c r="B252" s="12" t="s">
        <v>12</v>
      </c>
      <c r="C252" s="12" t="s">
        <v>8</v>
      </c>
      <c r="D252" s="12" t="s">
        <v>16</v>
      </c>
      <c r="E252" s="12">
        <v>7</v>
      </c>
      <c r="F252" s="12">
        <v>71960</v>
      </c>
      <c r="G252" s="13">
        <f>'Data File'!$F252*'Data File'!$E252</f>
        <v>503720</v>
      </c>
    </row>
    <row r="253" spans="1:7" x14ac:dyDescent="0.35">
      <c r="A253" s="14">
        <v>45018.455451388887</v>
      </c>
      <c r="B253" s="15" t="s">
        <v>13</v>
      </c>
      <c r="C253" s="15" t="s">
        <v>11</v>
      </c>
      <c r="D253" s="15" t="s">
        <v>16</v>
      </c>
      <c r="E253" s="15">
        <v>6</v>
      </c>
      <c r="F253" s="15">
        <v>24552</v>
      </c>
      <c r="G253" s="16">
        <f>'Data File'!$F253*'Data File'!$E253</f>
        <v>147312</v>
      </c>
    </row>
    <row r="254" spans="1:7" x14ac:dyDescent="0.35">
      <c r="A254" s="11">
        <v>45018.819814814815</v>
      </c>
      <c r="B254" s="12" t="s">
        <v>7</v>
      </c>
      <c r="C254" s="12" t="s">
        <v>11</v>
      </c>
      <c r="D254" s="12" t="s">
        <v>14</v>
      </c>
      <c r="E254" s="12">
        <v>9</v>
      </c>
      <c r="F254" s="12">
        <v>15808</v>
      </c>
      <c r="G254" s="13">
        <f>'Data File'!$F254*'Data File'!$E254</f>
        <v>142272</v>
      </c>
    </row>
    <row r="255" spans="1:7" x14ac:dyDescent="0.35">
      <c r="A255" s="14">
        <v>45019.184189814812</v>
      </c>
      <c r="B255" s="15" t="s">
        <v>13</v>
      </c>
      <c r="C255" s="15" t="s">
        <v>9</v>
      </c>
      <c r="D255" s="15" t="s">
        <v>19</v>
      </c>
      <c r="E255" s="15">
        <v>1</v>
      </c>
      <c r="F255" s="15">
        <v>28620</v>
      </c>
      <c r="G255" s="16">
        <f>'Data File'!$F255*'Data File'!$E255</f>
        <v>28620</v>
      </c>
    </row>
    <row r="256" spans="1:7" x14ac:dyDescent="0.35">
      <c r="A256" s="11">
        <v>45019.54855324074</v>
      </c>
      <c r="B256" s="12" t="s">
        <v>13</v>
      </c>
      <c r="C256" s="12" t="s">
        <v>11</v>
      </c>
      <c r="D256" s="12" t="s">
        <v>17</v>
      </c>
      <c r="E256" s="12">
        <v>8</v>
      </c>
      <c r="F256" s="12">
        <v>5887</v>
      </c>
      <c r="G256" s="13">
        <f>'Data File'!$F256*'Data File'!$E256</f>
        <v>47096</v>
      </c>
    </row>
    <row r="257" spans="1:7" x14ac:dyDescent="0.35">
      <c r="A257" s="14">
        <v>45019.912916666668</v>
      </c>
      <c r="B257" s="15" t="s">
        <v>6</v>
      </c>
      <c r="C257" s="15" t="s">
        <v>10</v>
      </c>
      <c r="D257" s="15" t="s">
        <v>18</v>
      </c>
      <c r="E257" s="15">
        <v>3</v>
      </c>
      <c r="F257" s="15">
        <v>36802</v>
      </c>
      <c r="G257" s="16">
        <f>'Data File'!$F257*'Data File'!$E257</f>
        <v>110406</v>
      </c>
    </row>
    <row r="258" spans="1:7" x14ac:dyDescent="0.35">
      <c r="A258" s="11">
        <v>45020.277280092596</v>
      </c>
      <c r="B258" s="12" t="s">
        <v>6</v>
      </c>
      <c r="C258" s="12" t="s">
        <v>11</v>
      </c>
      <c r="D258" s="12" t="s">
        <v>19</v>
      </c>
      <c r="E258" s="12">
        <v>4</v>
      </c>
      <c r="F258" s="12">
        <v>31049</v>
      </c>
      <c r="G258" s="13">
        <f>'Data File'!$F258*'Data File'!$E258</f>
        <v>124196</v>
      </c>
    </row>
    <row r="259" spans="1:7" x14ac:dyDescent="0.35">
      <c r="A259" s="14">
        <v>45020.641643518517</v>
      </c>
      <c r="B259" s="15" t="s">
        <v>12</v>
      </c>
      <c r="C259" s="15" t="s">
        <v>9</v>
      </c>
      <c r="D259" s="15" t="s">
        <v>19</v>
      </c>
      <c r="E259" s="15">
        <v>15</v>
      </c>
      <c r="F259" s="15">
        <v>12846</v>
      </c>
      <c r="G259" s="16">
        <f>'Data File'!$F259*'Data File'!$E259</f>
        <v>192690</v>
      </c>
    </row>
    <row r="260" spans="1:7" x14ac:dyDescent="0.35">
      <c r="A260" s="11">
        <v>45021.006006944444</v>
      </c>
      <c r="B260" s="12" t="s">
        <v>7</v>
      </c>
      <c r="C260" s="12" t="s">
        <v>11</v>
      </c>
      <c r="D260" s="12" t="s">
        <v>17</v>
      </c>
      <c r="E260" s="12">
        <v>6</v>
      </c>
      <c r="F260" s="12">
        <v>51220</v>
      </c>
      <c r="G260" s="13">
        <f>'Data File'!$F260*'Data File'!$E260</f>
        <v>307320</v>
      </c>
    </row>
    <row r="261" spans="1:7" x14ac:dyDescent="0.35">
      <c r="A261" s="14">
        <v>45021.370370370372</v>
      </c>
      <c r="B261" s="15" t="s">
        <v>6</v>
      </c>
      <c r="C261" s="15" t="s">
        <v>10</v>
      </c>
      <c r="D261" s="15" t="s">
        <v>14</v>
      </c>
      <c r="E261" s="15">
        <v>15</v>
      </c>
      <c r="F261" s="15">
        <v>51163</v>
      </c>
      <c r="G261" s="16">
        <f>'Data File'!$F261*'Data File'!$E261</f>
        <v>767445</v>
      </c>
    </row>
    <row r="262" spans="1:7" x14ac:dyDescent="0.35">
      <c r="A262" s="11">
        <v>45021.734733796293</v>
      </c>
      <c r="B262" s="12" t="s">
        <v>13</v>
      </c>
      <c r="C262" s="12" t="s">
        <v>8</v>
      </c>
      <c r="D262" s="12" t="s">
        <v>14</v>
      </c>
      <c r="E262" s="12">
        <v>3</v>
      </c>
      <c r="F262" s="12">
        <v>8765</v>
      </c>
      <c r="G262" s="13">
        <f>'Data File'!$F262*'Data File'!$E262</f>
        <v>26295</v>
      </c>
    </row>
    <row r="263" spans="1:7" x14ac:dyDescent="0.35">
      <c r="A263" s="14">
        <v>45022.099097222221</v>
      </c>
      <c r="B263" s="15" t="s">
        <v>12</v>
      </c>
      <c r="C263" s="15" t="s">
        <v>9</v>
      </c>
      <c r="D263" s="15" t="s">
        <v>14</v>
      </c>
      <c r="E263" s="15">
        <v>14</v>
      </c>
      <c r="F263" s="15">
        <v>50270</v>
      </c>
      <c r="G263" s="16">
        <f>'Data File'!$F263*'Data File'!$E263</f>
        <v>703780</v>
      </c>
    </row>
    <row r="264" spans="1:7" x14ac:dyDescent="0.35">
      <c r="A264" s="11">
        <v>45022.463460648149</v>
      </c>
      <c r="B264" s="12" t="s">
        <v>13</v>
      </c>
      <c r="C264" s="12" t="s">
        <v>8</v>
      </c>
      <c r="D264" s="12" t="s">
        <v>14</v>
      </c>
      <c r="E264" s="12">
        <v>14</v>
      </c>
      <c r="F264" s="12">
        <v>27931</v>
      </c>
      <c r="G264" s="13">
        <f>'Data File'!$F264*'Data File'!$E264</f>
        <v>391034</v>
      </c>
    </row>
    <row r="265" spans="1:7" x14ac:dyDescent="0.35">
      <c r="A265" s="14">
        <v>45022.827824074076</v>
      </c>
      <c r="B265" s="15" t="s">
        <v>13</v>
      </c>
      <c r="C265" s="15" t="s">
        <v>8</v>
      </c>
      <c r="D265" s="15" t="s">
        <v>16</v>
      </c>
      <c r="E265" s="15">
        <v>4</v>
      </c>
      <c r="F265" s="15">
        <v>60633</v>
      </c>
      <c r="G265" s="16">
        <f>'Data File'!$F265*'Data File'!$E265</f>
        <v>242532</v>
      </c>
    </row>
    <row r="266" spans="1:7" x14ac:dyDescent="0.35">
      <c r="A266" s="11">
        <v>45023.192187499997</v>
      </c>
      <c r="B266" s="12" t="s">
        <v>6</v>
      </c>
      <c r="C266" s="12" t="s">
        <v>8</v>
      </c>
      <c r="D266" s="12" t="s">
        <v>14</v>
      </c>
      <c r="E266" s="12">
        <v>12</v>
      </c>
      <c r="F266" s="12">
        <v>56913</v>
      </c>
      <c r="G266" s="13">
        <f>'Data File'!$F266*'Data File'!$E266</f>
        <v>682956</v>
      </c>
    </row>
    <row r="267" spans="1:7" x14ac:dyDescent="0.35">
      <c r="A267" s="14">
        <v>45023.556550925925</v>
      </c>
      <c r="B267" s="15" t="s">
        <v>12</v>
      </c>
      <c r="C267" s="15" t="s">
        <v>21</v>
      </c>
      <c r="D267" s="15" t="s">
        <v>16</v>
      </c>
      <c r="E267" s="15">
        <v>17</v>
      </c>
      <c r="F267" s="15">
        <v>30991</v>
      </c>
      <c r="G267" s="16">
        <f>'Data File'!$F267*'Data File'!$E267</f>
        <v>526847</v>
      </c>
    </row>
    <row r="268" spans="1:7" x14ac:dyDescent="0.35">
      <c r="A268" s="11">
        <v>45023.920925925922</v>
      </c>
      <c r="B268" s="12" t="s">
        <v>7</v>
      </c>
      <c r="C268" s="12" t="s">
        <v>21</v>
      </c>
      <c r="D268" s="12" t="s">
        <v>16</v>
      </c>
      <c r="E268" s="12">
        <v>7</v>
      </c>
      <c r="F268" s="12">
        <v>59845</v>
      </c>
      <c r="G268" s="13">
        <f>'Data File'!$F268*'Data File'!$E268</f>
        <v>418915</v>
      </c>
    </row>
    <row r="269" spans="1:7" x14ac:dyDescent="0.35">
      <c r="A269" s="14">
        <v>45024.28528935185</v>
      </c>
      <c r="B269" s="15" t="s">
        <v>7</v>
      </c>
      <c r="C269" s="15" t="s">
        <v>8</v>
      </c>
      <c r="D269" s="15" t="s">
        <v>14</v>
      </c>
      <c r="E269" s="15">
        <v>9</v>
      </c>
      <c r="F269" s="15">
        <v>60312</v>
      </c>
      <c r="G269" s="16">
        <f>'Data File'!$F269*'Data File'!$E269</f>
        <v>542808</v>
      </c>
    </row>
    <row r="270" spans="1:7" x14ac:dyDescent="0.35">
      <c r="A270" s="11">
        <v>45024.649652777778</v>
      </c>
      <c r="B270" s="12" t="s">
        <v>6</v>
      </c>
      <c r="C270" s="12" t="s">
        <v>9</v>
      </c>
      <c r="D270" s="12" t="s">
        <v>15</v>
      </c>
      <c r="E270" s="12">
        <v>3</v>
      </c>
      <c r="F270" s="12">
        <v>15561</v>
      </c>
      <c r="G270" s="13">
        <f>'Data File'!$F270*'Data File'!$E270</f>
        <v>46683</v>
      </c>
    </row>
    <row r="271" spans="1:7" x14ac:dyDescent="0.35">
      <c r="A271" s="14">
        <v>45025.014016203706</v>
      </c>
      <c r="B271" s="15" t="s">
        <v>6</v>
      </c>
      <c r="C271" s="15" t="s">
        <v>10</v>
      </c>
      <c r="D271" s="15" t="s">
        <v>18</v>
      </c>
      <c r="E271" s="15">
        <v>13</v>
      </c>
      <c r="F271" s="15">
        <v>21901</v>
      </c>
      <c r="G271" s="16">
        <f>'Data File'!$F271*'Data File'!$E271</f>
        <v>284713</v>
      </c>
    </row>
    <row r="272" spans="1:7" x14ac:dyDescent="0.35">
      <c r="A272" s="11">
        <v>45025.378379629627</v>
      </c>
      <c r="B272" s="12" t="s">
        <v>12</v>
      </c>
      <c r="C272" s="12" t="s">
        <v>10</v>
      </c>
      <c r="D272" s="12" t="s">
        <v>19</v>
      </c>
      <c r="E272" s="12">
        <v>15</v>
      </c>
      <c r="F272" s="12">
        <v>67875</v>
      </c>
      <c r="G272" s="13">
        <f>'Data File'!$F272*'Data File'!$E272</f>
        <v>1018125</v>
      </c>
    </row>
    <row r="273" spans="1:7" x14ac:dyDescent="0.35">
      <c r="A273" s="14">
        <v>45025.742743055554</v>
      </c>
      <c r="B273" s="15" t="s">
        <v>7</v>
      </c>
      <c r="C273" s="15" t="s">
        <v>11</v>
      </c>
      <c r="D273" s="15" t="s">
        <v>16</v>
      </c>
      <c r="E273" s="15">
        <v>18</v>
      </c>
      <c r="F273" s="15">
        <v>30917</v>
      </c>
      <c r="G273" s="16">
        <f>'Data File'!$F273*'Data File'!$E273</f>
        <v>556506</v>
      </c>
    </row>
    <row r="274" spans="1:7" x14ac:dyDescent="0.35">
      <c r="A274" s="11">
        <v>45026.107106481482</v>
      </c>
      <c r="B274" s="12" t="s">
        <v>7</v>
      </c>
      <c r="C274" s="12" t="s">
        <v>9</v>
      </c>
      <c r="D274" s="12" t="s">
        <v>17</v>
      </c>
      <c r="E274" s="12">
        <v>19</v>
      </c>
      <c r="F274" s="12">
        <v>67120</v>
      </c>
      <c r="G274" s="13">
        <f>'Data File'!$F274*'Data File'!$E274</f>
        <v>1275280</v>
      </c>
    </row>
    <row r="275" spans="1:7" x14ac:dyDescent="0.35">
      <c r="A275" s="14">
        <v>45026.47146990741</v>
      </c>
      <c r="B275" s="15" t="s">
        <v>7</v>
      </c>
      <c r="C275" s="15" t="s">
        <v>21</v>
      </c>
      <c r="D275" s="15" t="s">
        <v>17</v>
      </c>
      <c r="E275" s="15">
        <v>1</v>
      </c>
      <c r="F275" s="15">
        <v>6988</v>
      </c>
      <c r="G275" s="16">
        <f>'Data File'!$F275*'Data File'!$E275</f>
        <v>6988</v>
      </c>
    </row>
    <row r="276" spans="1:7" x14ac:dyDescent="0.35">
      <c r="A276" s="11">
        <v>45026.835833333331</v>
      </c>
      <c r="B276" s="12" t="s">
        <v>13</v>
      </c>
      <c r="C276" s="12" t="s">
        <v>8</v>
      </c>
      <c r="D276" s="12" t="s">
        <v>18</v>
      </c>
      <c r="E276" s="12">
        <v>6</v>
      </c>
      <c r="F276" s="12">
        <v>19256</v>
      </c>
      <c r="G276" s="13">
        <f>'Data File'!$F276*'Data File'!$E276</f>
        <v>115536</v>
      </c>
    </row>
    <row r="277" spans="1:7" x14ac:dyDescent="0.35">
      <c r="A277" s="14">
        <v>45027.200196759259</v>
      </c>
      <c r="B277" s="15" t="s">
        <v>7</v>
      </c>
      <c r="C277" s="15" t="s">
        <v>11</v>
      </c>
      <c r="D277" s="15" t="s">
        <v>17</v>
      </c>
      <c r="E277" s="15">
        <v>2</v>
      </c>
      <c r="F277" s="15">
        <v>33230</v>
      </c>
      <c r="G277" s="16">
        <f>'Data File'!$F277*'Data File'!$E277</f>
        <v>66460</v>
      </c>
    </row>
    <row r="278" spans="1:7" x14ac:dyDescent="0.35">
      <c r="A278" s="11">
        <v>45027.564560185187</v>
      </c>
      <c r="B278" s="12" t="s">
        <v>13</v>
      </c>
      <c r="C278" s="12" t="s">
        <v>10</v>
      </c>
      <c r="D278" s="12" t="s">
        <v>15</v>
      </c>
      <c r="E278" s="12">
        <v>14</v>
      </c>
      <c r="F278" s="12">
        <v>64778</v>
      </c>
      <c r="G278" s="13">
        <f>'Data File'!$F278*'Data File'!$E278</f>
        <v>906892</v>
      </c>
    </row>
    <row r="279" spans="1:7" x14ac:dyDescent="0.35">
      <c r="A279" s="14">
        <v>45027.928923611114</v>
      </c>
      <c r="B279" s="15" t="s">
        <v>12</v>
      </c>
      <c r="C279" s="15" t="s">
        <v>21</v>
      </c>
      <c r="D279" s="15" t="s">
        <v>17</v>
      </c>
      <c r="E279" s="15">
        <v>6</v>
      </c>
      <c r="F279" s="15">
        <v>50833</v>
      </c>
      <c r="G279" s="16">
        <f>'Data File'!$F279*'Data File'!$E279</f>
        <v>304998</v>
      </c>
    </row>
    <row r="280" spans="1:7" x14ac:dyDescent="0.35">
      <c r="A280" s="11">
        <v>45028.293298611112</v>
      </c>
      <c r="B280" s="12" t="s">
        <v>13</v>
      </c>
      <c r="C280" s="12" t="s">
        <v>21</v>
      </c>
      <c r="D280" s="12" t="s">
        <v>19</v>
      </c>
      <c r="E280" s="12">
        <v>14</v>
      </c>
      <c r="F280" s="12">
        <v>27625</v>
      </c>
      <c r="G280" s="13">
        <f>'Data File'!$F280*'Data File'!$E280</f>
        <v>386750</v>
      </c>
    </row>
    <row r="281" spans="1:7" x14ac:dyDescent="0.35">
      <c r="A281" s="14">
        <v>45028.65766203704</v>
      </c>
      <c r="B281" s="15" t="s">
        <v>12</v>
      </c>
      <c r="C281" s="15" t="s">
        <v>8</v>
      </c>
      <c r="D281" s="15" t="s">
        <v>19</v>
      </c>
      <c r="E281" s="15">
        <v>4</v>
      </c>
      <c r="F281" s="15">
        <v>37088</v>
      </c>
      <c r="G281" s="16">
        <f>'Data File'!$F281*'Data File'!$E281</f>
        <v>148352</v>
      </c>
    </row>
    <row r="282" spans="1:7" x14ac:dyDescent="0.35">
      <c r="A282" s="11">
        <v>45029.02202546296</v>
      </c>
      <c r="B282" s="12" t="s">
        <v>7</v>
      </c>
      <c r="C282" s="12" t="s">
        <v>10</v>
      </c>
      <c r="D282" s="12" t="s">
        <v>16</v>
      </c>
      <c r="E282" s="12">
        <v>8</v>
      </c>
      <c r="F282" s="12">
        <v>46167</v>
      </c>
      <c r="G282" s="13">
        <f>'Data File'!$F282*'Data File'!$E282</f>
        <v>369336</v>
      </c>
    </row>
    <row r="283" spans="1:7" x14ac:dyDescent="0.35">
      <c r="A283" s="14">
        <v>45029.386388888888</v>
      </c>
      <c r="B283" s="15" t="s">
        <v>7</v>
      </c>
      <c r="C283" s="15" t="s">
        <v>9</v>
      </c>
      <c r="D283" s="15" t="s">
        <v>14</v>
      </c>
      <c r="E283" s="15">
        <v>3</v>
      </c>
      <c r="F283" s="15">
        <v>70303</v>
      </c>
      <c r="G283" s="16">
        <f>'Data File'!$F283*'Data File'!$E283</f>
        <v>210909</v>
      </c>
    </row>
    <row r="284" spans="1:7" x14ac:dyDescent="0.35">
      <c r="A284" s="11">
        <v>45029.750752314816</v>
      </c>
      <c r="B284" s="12" t="s">
        <v>12</v>
      </c>
      <c r="C284" s="12" t="s">
        <v>21</v>
      </c>
      <c r="D284" s="12" t="s">
        <v>15</v>
      </c>
      <c r="E284" s="12">
        <v>19</v>
      </c>
      <c r="F284" s="12">
        <v>9117</v>
      </c>
      <c r="G284" s="13">
        <f>'Data File'!$F284*'Data File'!$E284</f>
        <v>173223</v>
      </c>
    </row>
    <row r="285" spans="1:7" x14ac:dyDescent="0.35">
      <c r="A285" s="14">
        <v>45030.115115740744</v>
      </c>
      <c r="B285" s="15" t="s">
        <v>6</v>
      </c>
      <c r="C285" s="15" t="s">
        <v>8</v>
      </c>
      <c r="D285" s="15" t="s">
        <v>16</v>
      </c>
      <c r="E285" s="15">
        <v>14</v>
      </c>
      <c r="F285" s="15">
        <v>65710</v>
      </c>
      <c r="G285" s="16">
        <f>'Data File'!$F285*'Data File'!$E285</f>
        <v>919940</v>
      </c>
    </row>
    <row r="286" spans="1:7" x14ac:dyDescent="0.35">
      <c r="A286" s="11">
        <v>45030.479479166665</v>
      </c>
      <c r="B286" s="12" t="s">
        <v>12</v>
      </c>
      <c r="C286" s="12" t="s">
        <v>9</v>
      </c>
      <c r="D286" s="12" t="s">
        <v>15</v>
      </c>
      <c r="E286" s="12">
        <v>17</v>
      </c>
      <c r="F286" s="12">
        <v>72054</v>
      </c>
      <c r="G286" s="13">
        <f>'Data File'!$F286*'Data File'!$E286</f>
        <v>1224918</v>
      </c>
    </row>
    <row r="287" spans="1:7" x14ac:dyDescent="0.35">
      <c r="A287" s="14">
        <v>45030.843842592592</v>
      </c>
      <c r="B287" s="15" t="s">
        <v>6</v>
      </c>
      <c r="C287" s="15" t="s">
        <v>10</v>
      </c>
      <c r="D287" s="15" t="s">
        <v>14</v>
      </c>
      <c r="E287" s="15">
        <v>8</v>
      </c>
      <c r="F287" s="15">
        <v>35949</v>
      </c>
      <c r="G287" s="16">
        <f>'Data File'!$F287*'Data File'!$E287</f>
        <v>287592</v>
      </c>
    </row>
    <row r="288" spans="1:7" x14ac:dyDescent="0.35">
      <c r="A288" s="11">
        <v>45031.20820601852</v>
      </c>
      <c r="B288" s="12" t="s">
        <v>13</v>
      </c>
      <c r="C288" s="12" t="s">
        <v>21</v>
      </c>
      <c r="D288" s="12" t="s">
        <v>17</v>
      </c>
      <c r="E288" s="12">
        <v>14</v>
      </c>
      <c r="F288" s="12">
        <v>27547</v>
      </c>
      <c r="G288" s="13">
        <f>'Data File'!$F288*'Data File'!$E288</f>
        <v>385658</v>
      </c>
    </row>
    <row r="289" spans="1:7" x14ac:dyDescent="0.35">
      <c r="A289" s="14">
        <v>45031.572569444441</v>
      </c>
      <c r="B289" s="15" t="s">
        <v>13</v>
      </c>
      <c r="C289" s="15" t="s">
        <v>9</v>
      </c>
      <c r="D289" s="15" t="s">
        <v>17</v>
      </c>
      <c r="E289" s="15">
        <v>6</v>
      </c>
      <c r="F289" s="15">
        <v>73136</v>
      </c>
      <c r="G289" s="16">
        <f>'Data File'!$F289*'Data File'!$E289</f>
        <v>438816</v>
      </c>
    </row>
    <row r="290" spans="1:7" x14ac:dyDescent="0.35">
      <c r="A290" s="11">
        <v>45031.936932870369</v>
      </c>
      <c r="B290" s="12" t="s">
        <v>13</v>
      </c>
      <c r="C290" s="12" t="s">
        <v>9</v>
      </c>
      <c r="D290" s="12" t="s">
        <v>14</v>
      </c>
      <c r="E290" s="12">
        <v>16</v>
      </c>
      <c r="F290" s="12">
        <v>69619</v>
      </c>
      <c r="G290" s="13">
        <f>'Data File'!$F290*'Data File'!$E290</f>
        <v>1113904</v>
      </c>
    </row>
    <row r="291" spans="1:7" x14ac:dyDescent="0.35">
      <c r="A291" s="14">
        <v>45032.301296296297</v>
      </c>
      <c r="B291" s="15" t="s">
        <v>7</v>
      </c>
      <c r="C291" s="15" t="s">
        <v>9</v>
      </c>
      <c r="D291" s="15" t="s">
        <v>16</v>
      </c>
      <c r="E291" s="15">
        <v>19</v>
      </c>
      <c r="F291" s="15">
        <v>66842</v>
      </c>
      <c r="G291" s="16">
        <f>'Data File'!$F291*'Data File'!$E291</f>
        <v>1269998</v>
      </c>
    </row>
    <row r="292" spans="1:7" x14ac:dyDescent="0.35">
      <c r="A292" s="11">
        <v>45032.665671296294</v>
      </c>
      <c r="B292" s="12" t="s">
        <v>13</v>
      </c>
      <c r="C292" s="12" t="s">
        <v>21</v>
      </c>
      <c r="D292" s="12" t="s">
        <v>14</v>
      </c>
      <c r="E292" s="12">
        <v>14</v>
      </c>
      <c r="F292" s="12">
        <v>31990</v>
      </c>
      <c r="G292" s="13">
        <f>'Data File'!$F292*'Data File'!$E292</f>
        <v>447860</v>
      </c>
    </row>
    <row r="293" spans="1:7" x14ac:dyDescent="0.35">
      <c r="A293" s="14">
        <v>45033.030034722222</v>
      </c>
      <c r="B293" s="15" t="s">
        <v>6</v>
      </c>
      <c r="C293" s="15" t="s">
        <v>21</v>
      </c>
      <c r="D293" s="15" t="s">
        <v>18</v>
      </c>
      <c r="E293" s="15">
        <v>19</v>
      </c>
      <c r="F293" s="15">
        <v>21193</v>
      </c>
      <c r="G293" s="16">
        <f>'Data File'!$F293*'Data File'!$E293</f>
        <v>402667</v>
      </c>
    </row>
    <row r="294" spans="1:7" x14ac:dyDescent="0.35">
      <c r="A294" s="11">
        <v>45033.39439814815</v>
      </c>
      <c r="B294" s="12" t="s">
        <v>13</v>
      </c>
      <c r="C294" s="12" t="s">
        <v>11</v>
      </c>
      <c r="D294" s="12" t="s">
        <v>19</v>
      </c>
      <c r="E294" s="12">
        <v>3</v>
      </c>
      <c r="F294" s="12">
        <v>35109</v>
      </c>
      <c r="G294" s="13">
        <f>'Data File'!$F294*'Data File'!$E294</f>
        <v>105327</v>
      </c>
    </row>
    <row r="295" spans="1:7" x14ac:dyDescent="0.35">
      <c r="A295" s="14">
        <v>45033.758761574078</v>
      </c>
      <c r="B295" s="15" t="s">
        <v>12</v>
      </c>
      <c r="C295" s="15" t="s">
        <v>10</v>
      </c>
      <c r="D295" s="15" t="s">
        <v>16</v>
      </c>
      <c r="E295" s="15">
        <v>10</v>
      </c>
      <c r="F295" s="15">
        <v>24233</v>
      </c>
      <c r="G295" s="16">
        <f>'Data File'!$F295*'Data File'!$E295</f>
        <v>242330</v>
      </c>
    </row>
    <row r="296" spans="1:7" x14ac:dyDescent="0.35">
      <c r="A296" s="11">
        <v>45034.123124999998</v>
      </c>
      <c r="B296" s="12" t="s">
        <v>12</v>
      </c>
      <c r="C296" s="12" t="s">
        <v>8</v>
      </c>
      <c r="D296" s="12" t="s">
        <v>15</v>
      </c>
      <c r="E296" s="12">
        <v>19</v>
      </c>
      <c r="F296" s="12">
        <v>39510</v>
      </c>
      <c r="G296" s="13">
        <f>'Data File'!$F296*'Data File'!$E296</f>
        <v>750690</v>
      </c>
    </row>
    <row r="297" spans="1:7" x14ac:dyDescent="0.35">
      <c r="A297" s="14">
        <v>45034.487488425926</v>
      </c>
      <c r="B297" s="15" t="s">
        <v>7</v>
      </c>
      <c r="C297" s="15" t="s">
        <v>9</v>
      </c>
      <c r="D297" s="15" t="s">
        <v>18</v>
      </c>
      <c r="E297" s="15">
        <v>9</v>
      </c>
      <c r="F297" s="15">
        <v>6306</v>
      </c>
      <c r="G297" s="16">
        <f>'Data File'!$F297*'Data File'!$E297</f>
        <v>56754</v>
      </c>
    </row>
    <row r="298" spans="1:7" x14ac:dyDescent="0.35">
      <c r="A298" s="11">
        <v>45034.851851851854</v>
      </c>
      <c r="B298" s="12" t="s">
        <v>12</v>
      </c>
      <c r="C298" s="12" t="s">
        <v>11</v>
      </c>
      <c r="D298" s="12" t="s">
        <v>16</v>
      </c>
      <c r="E298" s="12">
        <v>13</v>
      </c>
      <c r="F298" s="12">
        <v>8849</v>
      </c>
      <c r="G298" s="13">
        <f>'Data File'!$F298*'Data File'!$E298</f>
        <v>115037</v>
      </c>
    </row>
    <row r="299" spans="1:7" x14ac:dyDescent="0.35">
      <c r="A299" s="14">
        <v>45035.216215277775</v>
      </c>
      <c r="B299" s="15" t="s">
        <v>6</v>
      </c>
      <c r="C299" s="15" t="s">
        <v>8</v>
      </c>
      <c r="D299" s="15" t="s">
        <v>14</v>
      </c>
      <c r="E299" s="15">
        <v>7</v>
      </c>
      <c r="F299" s="15">
        <v>17360</v>
      </c>
      <c r="G299" s="16">
        <f>'Data File'!$F299*'Data File'!$E299</f>
        <v>121520</v>
      </c>
    </row>
    <row r="300" spans="1:7" x14ac:dyDescent="0.35">
      <c r="A300" s="11">
        <v>45035.580578703702</v>
      </c>
      <c r="B300" s="12" t="s">
        <v>13</v>
      </c>
      <c r="C300" s="12" t="s">
        <v>11</v>
      </c>
      <c r="D300" s="12" t="s">
        <v>14</v>
      </c>
      <c r="E300" s="12">
        <v>14</v>
      </c>
      <c r="F300" s="12">
        <v>50800</v>
      </c>
      <c r="G300" s="13">
        <f>'Data File'!$F300*'Data File'!$E300</f>
        <v>711200</v>
      </c>
    </row>
    <row r="301" spans="1:7" x14ac:dyDescent="0.35">
      <c r="A301" s="14">
        <v>45035.94494212963</v>
      </c>
      <c r="B301" s="15" t="s">
        <v>7</v>
      </c>
      <c r="C301" s="15" t="s">
        <v>21</v>
      </c>
      <c r="D301" s="15" t="s">
        <v>14</v>
      </c>
      <c r="E301" s="15">
        <v>9</v>
      </c>
      <c r="F301" s="15">
        <v>41963</v>
      </c>
      <c r="G301" s="16">
        <f>'Data File'!$F301*'Data File'!$E301</f>
        <v>377667</v>
      </c>
    </row>
    <row r="302" spans="1:7" x14ac:dyDescent="0.35">
      <c r="A302" s="11">
        <v>45036.309305555558</v>
      </c>
      <c r="B302" s="12" t="s">
        <v>13</v>
      </c>
      <c r="C302" s="12" t="s">
        <v>9</v>
      </c>
      <c r="D302" s="12" t="s">
        <v>14</v>
      </c>
      <c r="E302" s="12">
        <v>19</v>
      </c>
      <c r="F302" s="12">
        <v>59330</v>
      </c>
      <c r="G302" s="13">
        <f>'Data File'!$F302*'Data File'!$E302</f>
        <v>1127270</v>
      </c>
    </row>
    <row r="303" spans="1:7" x14ac:dyDescent="0.35">
      <c r="A303" s="14">
        <v>45036.673668981479</v>
      </c>
      <c r="B303" s="15" t="s">
        <v>13</v>
      </c>
      <c r="C303" s="15" t="s">
        <v>8</v>
      </c>
      <c r="D303" s="15" t="s">
        <v>15</v>
      </c>
      <c r="E303" s="15">
        <v>15</v>
      </c>
      <c r="F303" s="15">
        <v>56707</v>
      </c>
      <c r="G303" s="16">
        <f>'Data File'!$F303*'Data File'!$E303</f>
        <v>850605</v>
      </c>
    </row>
    <row r="304" spans="1:7" x14ac:dyDescent="0.35">
      <c r="A304" s="11">
        <v>45037.038032407407</v>
      </c>
      <c r="B304" s="12" t="s">
        <v>6</v>
      </c>
      <c r="C304" s="12" t="s">
        <v>8</v>
      </c>
      <c r="D304" s="12" t="s">
        <v>18</v>
      </c>
      <c r="E304" s="12">
        <v>14</v>
      </c>
      <c r="F304" s="12">
        <v>23689</v>
      </c>
      <c r="G304" s="13">
        <f>'Data File'!$F304*'Data File'!$E304</f>
        <v>331646</v>
      </c>
    </row>
    <row r="305" spans="1:7" x14ac:dyDescent="0.35">
      <c r="A305" s="14">
        <v>45037.402407407404</v>
      </c>
      <c r="B305" s="15" t="s">
        <v>12</v>
      </c>
      <c r="C305" s="15" t="s">
        <v>8</v>
      </c>
      <c r="D305" s="15" t="s">
        <v>17</v>
      </c>
      <c r="E305" s="15">
        <v>6</v>
      </c>
      <c r="F305" s="15">
        <v>34084</v>
      </c>
      <c r="G305" s="16">
        <f>'Data File'!$F305*'Data File'!$E305</f>
        <v>204504</v>
      </c>
    </row>
    <row r="306" spans="1:7" x14ac:dyDescent="0.35">
      <c r="A306" s="11">
        <v>45037.766770833332</v>
      </c>
      <c r="B306" s="12" t="s">
        <v>12</v>
      </c>
      <c r="C306" s="12" t="s">
        <v>8</v>
      </c>
      <c r="D306" s="12" t="s">
        <v>19</v>
      </c>
      <c r="E306" s="12">
        <v>4</v>
      </c>
      <c r="F306" s="12">
        <v>45387</v>
      </c>
      <c r="G306" s="13">
        <f>'Data File'!$F306*'Data File'!$E306</f>
        <v>181548</v>
      </c>
    </row>
    <row r="307" spans="1:7" x14ac:dyDescent="0.35">
      <c r="A307" s="14">
        <v>45038.13113425926</v>
      </c>
      <c r="B307" s="15" t="s">
        <v>13</v>
      </c>
      <c r="C307" s="15" t="s">
        <v>8</v>
      </c>
      <c r="D307" s="15" t="s">
        <v>15</v>
      </c>
      <c r="E307" s="15">
        <v>8</v>
      </c>
      <c r="F307" s="15">
        <v>7642</v>
      </c>
      <c r="G307" s="16">
        <f>'Data File'!$F307*'Data File'!$E307</f>
        <v>61136</v>
      </c>
    </row>
    <row r="308" spans="1:7" x14ac:dyDescent="0.35">
      <c r="A308" s="11">
        <v>45038.495497685188</v>
      </c>
      <c r="B308" s="12" t="s">
        <v>7</v>
      </c>
      <c r="C308" s="12" t="s">
        <v>11</v>
      </c>
      <c r="D308" s="12" t="s">
        <v>15</v>
      </c>
      <c r="E308" s="12">
        <v>17</v>
      </c>
      <c r="F308" s="12">
        <v>47137</v>
      </c>
      <c r="G308" s="13">
        <f>'Data File'!$F308*'Data File'!$E308</f>
        <v>801329</v>
      </c>
    </row>
    <row r="309" spans="1:7" x14ac:dyDescent="0.35">
      <c r="A309" s="14">
        <v>45038.859861111108</v>
      </c>
      <c r="B309" s="15" t="s">
        <v>12</v>
      </c>
      <c r="C309" s="15" t="s">
        <v>9</v>
      </c>
      <c r="D309" s="15" t="s">
        <v>17</v>
      </c>
      <c r="E309" s="15">
        <v>9</v>
      </c>
      <c r="F309" s="15">
        <v>60561</v>
      </c>
      <c r="G309" s="16">
        <f>'Data File'!$F309*'Data File'!$E309</f>
        <v>545049</v>
      </c>
    </row>
    <row r="310" spans="1:7" x14ac:dyDescent="0.35">
      <c r="A310" s="11">
        <v>45039.224224537036</v>
      </c>
      <c r="B310" s="12" t="s">
        <v>7</v>
      </c>
      <c r="C310" s="12" t="s">
        <v>21</v>
      </c>
      <c r="D310" s="12" t="s">
        <v>17</v>
      </c>
      <c r="E310" s="12">
        <v>1</v>
      </c>
      <c r="F310" s="12">
        <v>67260</v>
      </c>
      <c r="G310" s="13">
        <f>'Data File'!$F310*'Data File'!$E310</f>
        <v>67260</v>
      </c>
    </row>
    <row r="311" spans="1:7" x14ac:dyDescent="0.35">
      <c r="A311" s="14">
        <v>45039.588587962964</v>
      </c>
      <c r="B311" s="15" t="s">
        <v>12</v>
      </c>
      <c r="C311" s="15" t="s">
        <v>21</v>
      </c>
      <c r="D311" s="15" t="s">
        <v>19</v>
      </c>
      <c r="E311" s="15">
        <v>14</v>
      </c>
      <c r="F311" s="15">
        <v>20438</v>
      </c>
      <c r="G311" s="16">
        <f>'Data File'!$F311*'Data File'!$E311</f>
        <v>286132</v>
      </c>
    </row>
    <row r="312" spans="1:7" x14ac:dyDescent="0.35">
      <c r="A312" s="11">
        <v>45039.952951388892</v>
      </c>
      <c r="B312" s="12" t="s">
        <v>7</v>
      </c>
      <c r="C312" s="12" t="s">
        <v>21</v>
      </c>
      <c r="D312" s="12" t="s">
        <v>19</v>
      </c>
      <c r="E312" s="12">
        <v>11</v>
      </c>
      <c r="F312" s="12">
        <v>53442</v>
      </c>
      <c r="G312" s="13">
        <f>'Data File'!$F312*'Data File'!$E312</f>
        <v>587862</v>
      </c>
    </row>
    <row r="313" spans="1:7" x14ac:dyDescent="0.35">
      <c r="A313" s="14">
        <v>45040.317314814813</v>
      </c>
      <c r="B313" s="15" t="s">
        <v>6</v>
      </c>
      <c r="C313" s="15" t="s">
        <v>21</v>
      </c>
      <c r="D313" s="15" t="s">
        <v>17</v>
      </c>
      <c r="E313" s="15">
        <v>3</v>
      </c>
      <c r="F313" s="15">
        <v>7994</v>
      </c>
      <c r="G313" s="16">
        <f>'Data File'!$F313*'Data File'!$E313</f>
        <v>23982</v>
      </c>
    </row>
    <row r="314" spans="1:7" x14ac:dyDescent="0.35">
      <c r="A314" s="11">
        <v>45040.68167824074</v>
      </c>
      <c r="B314" s="12" t="s">
        <v>7</v>
      </c>
      <c r="C314" s="12" t="s">
        <v>11</v>
      </c>
      <c r="D314" s="12" t="s">
        <v>14</v>
      </c>
      <c r="E314" s="12">
        <v>9</v>
      </c>
      <c r="F314" s="12">
        <v>6813</v>
      </c>
      <c r="G314" s="13">
        <f>'Data File'!$F314*'Data File'!$E314</f>
        <v>61317</v>
      </c>
    </row>
    <row r="315" spans="1:7" x14ac:dyDescent="0.35">
      <c r="A315" s="14">
        <v>45041.046041666668</v>
      </c>
      <c r="B315" s="15" t="s">
        <v>6</v>
      </c>
      <c r="C315" s="15" t="s">
        <v>10</v>
      </c>
      <c r="D315" s="15" t="s">
        <v>15</v>
      </c>
      <c r="E315" s="15">
        <v>14</v>
      </c>
      <c r="F315" s="15">
        <v>60276</v>
      </c>
      <c r="G315" s="16">
        <f>'Data File'!$F315*'Data File'!$E315</f>
        <v>843864</v>
      </c>
    </row>
    <row r="316" spans="1:7" x14ac:dyDescent="0.35">
      <c r="A316" s="11">
        <v>45041.410405092596</v>
      </c>
      <c r="B316" s="12" t="s">
        <v>6</v>
      </c>
      <c r="C316" s="12" t="s">
        <v>9</v>
      </c>
      <c r="D316" s="12" t="s">
        <v>16</v>
      </c>
      <c r="E316" s="12">
        <v>9</v>
      </c>
      <c r="F316" s="12">
        <v>46243</v>
      </c>
      <c r="G316" s="13">
        <f>'Data File'!$F316*'Data File'!$E316</f>
        <v>416187</v>
      </c>
    </row>
    <row r="317" spans="1:7" x14ac:dyDescent="0.35">
      <c r="A317" s="14">
        <v>45041.774780092594</v>
      </c>
      <c r="B317" s="15" t="s">
        <v>7</v>
      </c>
      <c r="C317" s="15" t="s">
        <v>8</v>
      </c>
      <c r="D317" s="15" t="s">
        <v>19</v>
      </c>
      <c r="E317" s="15">
        <v>4</v>
      </c>
      <c r="F317" s="15">
        <v>67912</v>
      </c>
      <c r="G317" s="16">
        <f>'Data File'!$F317*'Data File'!$E317</f>
        <v>271648</v>
      </c>
    </row>
    <row r="318" spans="1:7" x14ac:dyDescent="0.35">
      <c r="A318" s="11">
        <v>45042.139143518521</v>
      </c>
      <c r="B318" s="12" t="s">
        <v>6</v>
      </c>
      <c r="C318" s="12" t="s">
        <v>10</v>
      </c>
      <c r="D318" s="12" t="s">
        <v>19</v>
      </c>
      <c r="E318" s="12">
        <v>4</v>
      </c>
      <c r="F318" s="12">
        <v>65272</v>
      </c>
      <c r="G318" s="13">
        <f>'Data File'!$F318*'Data File'!$E318</f>
        <v>261088</v>
      </c>
    </row>
    <row r="319" spans="1:7" x14ac:dyDescent="0.35">
      <c r="A319" s="14">
        <v>45042.503506944442</v>
      </c>
      <c r="B319" s="15" t="s">
        <v>13</v>
      </c>
      <c r="C319" s="15" t="s">
        <v>21</v>
      </c>
      <c r="D319" s="15" t="s">
        <v>17</v>
      </c>
      <c r="E319" s="15">
        <v>8</v>
      </c>
      <c r="F319" s="15">
        <v>47051</v>
      </c>
      <c r="G319" s="16">
        <f>'Data File'!$F319*'Data File'!$E319</f>
        <v>376408</v>
      </c>
    </row>
    <row r="320" spans="1:7" x14ac:dyDescent="0.35">
      <c r="A320" s="11">
        <v>45042.86787037037</v>
      </c>
      <c r="B320" s="12" t="s">
        <v>6</v>
      </c>
      <c r="C320" s="12" t="s">
        <v>10</v>
      </c>
      <c r="D320" s="12" t="s">
        <v>18</v>
      </c>
      <c r="E320" s="12">
        <v>2</v>
      </c>
      <c r="F320" s="12">
        <v>70618</v>
      </c>
      <c r="G320" s="13">
        <f>'Data File'!$F320*'Data File'!$E320</f>
        <v>141236</v>
      </c>
    </row>
    <row r="321" spans="1:7" x14ac:dyDescent="0.35">
      <c r="A321" s="14">
        <v>45043.232233796298</v>
      </c>
      <c r="B321" s="15" t="s">
        <v>12</v>
      </c>
      <c r="C321" s="15" t="s">
        <v>9</v>
      </c>
      <c r="D321" s="15" t="s">
        <v>16</v>
      </c>
      <c r="E321" s="15">
        <v>9</v>
      </c>
      <c r="F321" s="15">
        <v>6920</v>
      </c>
      <c r="G321" s="16">
        <f>'Data File'!$F321*'Data File'!$E321</f>
        <v>62280</v>
      </c>
    </row>
    <row r="322" spans="1:7" x14ac:dyDescent="0.35">
      <c r="A322" s="11">
        <v>45043.596597222226</v>
      </c>
      <c r="B322" s="12" t="s">
        <v>7</v>
      </c>
      <c r="C322" s="12" t="s">
        <v>8</v>
      </c>
      <c r="D322" s="12" t="s">
        <v>16</v>
      </c>
      <c r="E322" s="12">
        <v>14</v>
      </c>
      <c r="F322" s="12">
        <v>7093</v>
      </c>
      <c r="G322" s="13">
        <f>'Data File'!$F322*'Data File'!$E322</f>
        <v>99302</v>
      </c>
    </row>
    <row r="323" spans="1:7" x14ac:dyDescent="0.35">
      <c r="A323" s="14">
        <v>45043.960960648146</v>
      </c>
      <c r="B323" s="15" t="s">
        <v>13</v>
      </c>
      <c r="C323" s="15" t="s">
        <v>8</v>
      </c>
      <c r="D323" s="15" t="s">
        <v>19</v>
      </c>
      <c r="E323" s="15">
        <v>9</v>
      </c>
      <c r="F323" s="15">
        <v>17905</v>
      </c>
      <c r="G323" s="16">
        <f>'Data File'!$F323*'Data File'!$E323</f>
        <v>161145</v>
      </c>
    </row>
    <row r="324" spans="1:7" x14ac:dyDescent="0.35">
      <c r="A324" s="11">
        <v>45044.325324074074</v>
      </c>
      <c r="B324" s="12" t="s">
        <v>7</v>
      </c>
      <c r="C324" s="12" t="s">
        <v>9</v>
      </c>
      <c r="D324" s="12" t="s">
        <v>14</v>
      </c>
      <c r="E324" s="12">
        <v>16</v>
      </c>
      <c r="F324" s="12">
        <v>29351</v>
      </c>
      <c r="G324" s="13">
        <f>'Data File'!$F324*'Data File'!$E324</f>
        <v>469616</v>
      </c>
    </row>
    <row r="325" spans="1:7" x14ac:dyDescent="0.35">
      <c r="A325" s="14">
        <v>45044.689687500002</v>
      </c>
      <c r="B325" s="15" t="s">
        <v>12</v>
      </c>
      <c r="C325" s="15" t="s">
        <v>9</v>
      </c>
      <c r="D325" s="15" t="s">
        <v>18</v>
      </c>
      <c r="E325" s="15">
        <v>17</v>
      </c>
      <c r="F325" s="15">
        <v>35981</v>
      </c>
      <c r="G325" s="16">
        <f>'Data File'!$F325*'Data File'!$E325</f>
        <v>611677</v>
      </c>
    </row>
    <row r="326" spans="1:7" x14ac:dyDescent="0.35">
      <c r="A326" s="11">
        <v>45045.054050925923</v>
      </c>
      <c r="B326" s="12" t="s">
        <v>12</v>
      </c>
      <c r="C326" s="12" t="s">
        <v>21</v>
      </c>
      <c r="D326" s="12" t="s">
        <v>16</v>
      </c>
      <c r="E326" s="12">
        <v>16</v>
      </c>
      <c r="F326" s="12">
        <v>24874</v>
      </c>
      <c r="G326" s="13">
        <f>'Data File'!$F326*'Data File'!$E326</f>
        <v>397984</v>
      </c>
    </row>
    <row r="327" spans="1:7" x14ac:dyDescent="0.35">
      <c r="A327" s="14">
        <v>45045.418414351851</v>
      </c>
      <c r="B327" s="15" t="s">
        <v>12</v>
      </c>
      <c r="C327" s="15" t="s">
        <v>8</v>
      </c>
      <c r="D327" s="15" t="s">
        <v>19</v>
      </c>
      <c r="E327" s="15">
        <v>12</v>
      </c>
      <c r="F327" s="15">
        <v>55931</v>
      </c>
      <c r="G327" s="16">
        <f>'Data File'!$F327*'Data File'!$E327</f>
        <v>671172</v>
      </c>
    </row>
    <row r="328" spans="1:7" x14ac:dyDescent="0.35">
      <c r="A328" s="11">
        <v>45045.782777777778</v>
      </c>
      <c r="B328" s="12" t="s">
        <v>6</v>
      </c>
      <c r="C328" s="12" t="s">
        <v>10</v>
      </c>
      <c r="D328" s="12" t="s">
        <v>16</v>
      </c>
      <c r="E328" s="12">
        <v>3</v>
      </c>
      <c r="F328" s="12">
        <v>12674</v>
      </c>
      <c r="G328" s="13">
        <f>'Data File'!$F328*'Data File'!$E328</f>
        <v>38022</v>
      </c>
    </row>
    <row r="329" spans="1:7" x14ac:dyDescent="0.35">
      <c r="A329" s="14">
        <v>45046.147152777776</v>
      </c>
      <c r="B329" s="15" t="s">
        <v>6</v>
      </c>
      <c r="C329" s="15" t="s">
        <v>11</v>
      </c>
      <c r="D329" s="15" t="s">
        <v>18</v>
      </c>
      <c r="E329" s="15">
        <v>11</v>
      </c>
      <c r="F329" s="15">
        <v>55516</v>
      </c>
      <c r="G329" s="16">
        <f>'Data File'!$F329*'Data File'!$E329</f>
        <v>610676</v>
      </c>
    </row>
    <row r="330" spans="1:7" x14ac:dyDescent="0.35">
      <c r="A330" s="11">
        <v>45046.511516203704</v>
      </c>
      <c r="B330" s="12" t="s">
        <v>7</v>
      </c>
      <c r="C330" s="12" t="s">
        <v>11</v>
      </c>
      <c r="D330" s="12" t="s">
        <v>18</v>
      </c>
      <c r="E330" s="12">
        <v>14</v>
      </c>
      <c r="F330" s="12">
        <v>65686</v>
      </c>
      <c r="G330" s="13">
        <f>'Data File'!$F330*'Data File'!$E330</f>
        <v>919604</v>
      </c>
    </row>
    <row r="331" spans="1:7" x14ac:dyDescent="0.35">
      <c r="A331" s="14">
        <v>45046.875879629632</v>
      </c>
      <c r="B331" s="15" t="s">
        <v>7</v>
      </c>
      <c r="C331" s="15" t="s">
        <v>9</v>
      </c>
      <c r="D331" s="15" t="s">
        <v>15</v>
      </c>
      <c r="E331" s="15">
        <v>18</v>
      </c>
      <c r="F331" s="15">
        <v>74212</v>
      </c>
      <c r="G331" s="16">
        <f>'Data File'!$F331*'Data File'!$E331</f>
        <v>1335816</v>
      </c>
    </row>
    <row r="332" spans="1:7" x14ac:dyDescent="0.35">
      <c r="A332" s="11">
        <v>45047.240243055552</v>
      </c>
      <c r="B332" s="12" t="s">
        <v>13</v>
      </c>
      <c r="C332" s="12" t="s">
        <v>21</v>
      </c>
      <c r="D332" s="12" t="s">
        <v>17</v>
      </c>
      <c r="E332" s="12">
        <v>5</v>
      </c>
      <c r="F332" s="12">
        <v>7426</v>
      </c>
      <c r="G332" s="13">
        <f>'Data File'!$F332*'Data File'!$E332</f>
        <v>37130</v>
      </c>
    </row>
    <row r="333" spans="1:7" x14ac:dyDescent="0.35">
      <c r="A333" s="14">
        <v>45047.60460648148</v>
      </c>
      <c r="B333" s="15" t="s">
        <v>13</v>
      </c>
      <c r="C333" s="15" t="s">
        <v>11</v>
      </c>
      <c r="D333" s="15" t="s">
        <v>17</v>
      </c>
      <c r="E333" s="15">
        <v>16</v>
      </c>
      <c r="F333" s="15">
        <v>73498</v>
      </c>
      <c r="G333" s="16">
        <f>'Data File'!$F333*'Data File'!$E333</f>
        <v>1175968</v>
      </c>
    </row>
    <row r="334" spans="1:7" x14ac:dyDescent="0.35">
      <c r="A334" s="11">
        <v>45047.968969907408</v>
      </c>
      <c r="B334" s="12" t="s">
        <v>7</v>
      </c>
      <c r="C334" s="12" t="s">
        <v>8</v>
      </c>
      <c r="D334" s="12" t="s">
        <v>19</v>
      </c>
      <c r="E334" s="12">
        <v>5</v>
      </c>
      <c r="F334" s="12">
        <v>34943</v>
      </c>
      <c r="G334" s="13">
        <f>'Data File'!$F334*'Data File'!$E334</f>
        <v>174715</v>
      </c>
    </row>
    <row r="335" spans="1:7" x14ac:dyDescent="0.35">
      <c r="A335" s="14">
        <v>45048.333333333336</v>
      </c>
      <c r="B335" s="15" t="s">
        <v>6</v>
      </c>
      <c r="C335" s="15" t="s">
        <v>9</v>
      </c>
      <c r="D335" s="15" t="s">
        <v>18</v>
      </c>
      <c r="E335" s="15">
        <v>3</v>
      </c>
      <c r="F335" s="15">
        <v>71395</v>
      </c>
      <c r="G335" s="16">
        <f>'Data File'!$F335*'Data File'!$E335</f>
        <v>214185</v>
      </c>
    </row>
    <row r="336" spans="1:7" x14ac:dyDescent="0.35">
      <c r="A336" s="11">
        <v>45048.697696759256</v>
      </c>
      <c r="B336" s="12" t="s">
        <v>12</v>
      </c>
      <c r="C336" s="12" t="s">
        <v>10</v>
      </c>
      <c r="D336" s="12" t="s">
        <v>15</v>
      </c>
      <c r="E336" s="12">
        <v>12</v>
      </c>
      <c r="F336" s="12">
        <v>49816</v>
      </c>
      <c r="G336" s="13">
        <f>'Data File'!$F336*'Data File'!$E336</f>
        <v>597792</v>
      </c>
    </row>
    <row r="337" spans="1:7" x14ac:dyDescent="0.35">
      <c r="A337" s="14">
        <v>45049.062060185184</v>
      </c>
      <c r="B337" s="15" t="s">
        <v>7</v>
      </c>
      <c r="C337" s="15" t="s">
        <v>9</v>
      </c>
      <c r="D337" s="15" t="s">
        <v>15</v>
      </c>
      <c r="E337" s="15">
        <v>1</v>
      </c>
      <c r="F337" s="15">
        <v>9138</v>
      </c>
      <c r="G337" s="16">
        <f>'Data File'!$F337*'Data File'!$E337</f>
        <v>9138</v>
      </c>
    </row>
    <row r="338" spans="1:7" x14ac:dyDescent="0.35">
      <c r="A338" s="11">
        <v>45049.426423611112</v>
      </c>
      <c r="B338" s="12" t="s">
        <v>13</v>
      </c>
      <c r="C338" s="12" t="s">
        <v>10</v>
      </c>
      <c r="D338" s="12" t="s">
        <v>16</v>
      </c>
      <c r="E338" s="12">
        <v>9</v>
      </c>
      <c r="F338" s="12">
        <v>9017</v>
      </c>
      <c r="G338" s="13">
        <f>'Data File'!$F338*'Data File'!$E338</f>
        <v>81153</v>
      </c>
    </row>
    <row r="339" spans="1:7" x14ac:dyDescent="0.35">
      <c r="A339" s="14">
        <v>45049.79078703704</v>
      </c>
      <c r="B339" s="15" t="s">
        <v>6</v>
      </c>
      <c r="C339" s="15" t="s">
        <v>9</v>
      </c>
      <c r="D339" s="15" t="s">
        <v>16</v>
      </c>
      <c r="E339" s="15">
        <v>9</v>
      </c>
      <c r="F339" s="15">
        <v>15451</v>
      </c>
      <c r="G339" s="16">
        <f>'Data File'!$F339*'Data File'!$E339</f>
        <v>139059</v>
      </c>
    </row>
    <row r="340" spans="1:7" x14ac:dyDescent="0.35">
      <c r="A340" s="11">
        <v>45050.155150462961</v>
      </c>
      <c r="B340" s="12" t="s">
        <v>7</v>
      </c>
      <c r="C340" s="12" t="s">
        <v>9</v>
      </c>
      <c r="D340" s="12" t="s">
        <v>15</v>
      </c>
      <c r="E340" s="12">
        <v>4</v>
      </c>
      <c r="F340" s="12">
        <v>67956</v>
      </c>
      <c r="G340" s="13">
        <f>'Data File'!$F340*'Data File'!$E340</f>
        <v>271824</v>
      </c>
    </row>
    <row r="341" spans="1:7" x14ac:dyDescent="0.35">
      <c r="A341" s="14">
        <v>45050.519513888888</v>
      </c>
      <c r="B341" s="15" t="s">
        <v>7</v>
      </c>
      <c r="C341" s="15" t="s">
        <v>9</v>
      </c>
      <c r="D341" s="15" t="s">
        <v>16</v>
      </c>
      <c r="E341" s="15">
        <v>3</v>
      </c>
      <c r="F341" s="15">
        <v>15278</v>
      </c>
      <c r="G341" s="16">
        <f>'Data File'!$F341*'Data File'!$E341</f>
        <v>45834</v>
      </c>
    </row>
    <row r="342" spans="1:7" x14ac:dyDescent="0.35">
      <c r="A342" s="11">
        <v>45050.883888888886</v>
      </c>
      <c r="B342" s="12" t="s">
        <v>6</v>
      </c>
      <c r="C342" s="12" t="s">
        <v>10</v>
      </c>
      <c r="D342" s="12" t="s">
        <v>18</v>
      </c>
      <c r="E342" s="12">
        <v>17</v>
      </c>
      <c r="F342" s="12">
        <v>48764</v>
      </c>
      <c r="G342" s="13">
        <f>'Data File'!$F342*'Data File'!$E342</f>
        <v>828988</v>
      </c>
    </row>
    <row r="343" spans="1:7" x14ac:dyDescent="0.35">
      <c r="A343" s="14">
        <v>45051.248252314814</v>
      </c>
      <c r="B343" s="15" t="s">
        <v>7</v>
      </c>
      <c r="C343" s="15" t="s">
        <v>10</v>
      </c>
      <c r="D343" s="15" t="s">
        <v>14</v>
      </c>
      <c r="E343" s="15">
        <v>2</v>
      </c>
      <c r="F343" s="15">
        <v>6134</v>
      </c>
      <c r="G343" s="16">
        <f>'Data File'!$F343*'Data File'!$E343</f>
        <v>12268</v>
      </c>
    </row>
    <row r="344" spans="1:7" x14ac:dyDescent="0.35">
      <c r="A344" s="11">
        <v>45051.612615740742</v>
      </c>
      <c r="B344" s="12" t="s">
        <v>6</v>
      </c>
      <c r="C344" s="12" t="s">
        <v>9</v>
      </c>
      <c r="D344" s="12" t="s">
        <v>18</v>
      </c>
      <c r="E344" s="12">
        <v>1</v>
      </c>
      <c r="F344" s="12">
        <v>67943</v>
      </c>
      <c r="G344" s="13">
        <f>'Data File'!$F344*'Data File'!$E344</f>
        <v>67943</v>
      </c>
    </row>
    <row r="345" spans="1:7" x14ac:dyDescent="0.35">
      <c r="A345" s="14">
        <v>45051.976979166669</v>
      </c>
      <c r="B345" s="15" t="s">
        <v>12</v>
      </c>
      <c r="C345" s="15" t="s">
        <v>11</v>
      </c>
      <c r="D345" s="15" t="s">
        <v>15</v>
      </c>
      <c r="E345" s="15">
        <v>8</v>
      </c>
      <c r="F345" s="15">
        <v>59318</v>
      </c>
      <c r="G345" s="16">
        <f>'Data File'!$F345*'Data File'!$E345</f>
        <v>474544</v>
      </c>
    </row>
    <row r="346" spans="1:7" x14ac:dyDescent="0.35">
      <c r="A346" s="11">
        <v>45052.34134259259</v>
      </c>
      <c r="B346" s="12" t="s">
        <v>6</v>
      </c>
      <c r="C346" s="12" t="s">
        <v>21</v>
      </c>
      <c r="D346" s="12" t="s">
        <v>15</v>
      </c>
      <c r="E346" s="12">
        <v>13</v>
      </c>
      <c r="F346" s="12">
        <v>65128</v>
      </c>
      <c r="G346" s="13">
        <f>'Data File'!$F346*'Data File'!$E346</f>
        <v>846664</v>
      </c>
    </row>
    <row r="347" spans="1:7" x14ac:dyDescent="0.35">
      <c r="A347" s="14">
        <v>45052.705706018518</v>
      </c>
      <c r="B347" s="15" t="s">
        <v>6</v>
      </c>
      <c r="C347" s="15" t="s">
        <v>21</v>
      </c>
      <c r="D347" s="15" t="s">
        <v>18</v>
      </c>
      <c r="E347" s="15">
        <v>15</v>
      </c>
      <c r="F347" s="15">
        <v>26869</v>
      </c>
      <c r="G347" s="16">
        <f>'Data File'!$F347*'Data File'!$E347</f>
        <v>403035</v>
      </c>
    </row>
    <row r="348" spans="1:7" x14ac:dyDescent="0.35">
      <c r="A348" s="11">
        <v>45053.070069444446</v>
      </c>
      <c r="B348" s="12" t="s">
        <v>6</v>
      </c>
      <c r="C348" s="12" t="s">
        <v>21</v>
      </c>
      <c r="D348" s="12" t="s">
        <v>16</v>
      </c>
      <c r="E348" s="12">
        <v>8</v>
      </c>
      <c r="F348" s="12">
        <v>10039</v>
      </c>
      <c r="G348" s="13">
        <f>'Data File'!$F348*'Data File'!$E348</f>
        <v>80312</v>
      </c>
    </row>
    <row r="349" spans="1:7" x14ac:dyDescent="0.35">
      <c r="A349" s="14">
        <v>45053.434432870374</v>
      </c>
      <c r="B349" s="15" t="s">
        <v>7</v>
      </c>
      <c r="C349" s="15" t="s">
        <v>10</v>
      </c>
      <c r="D349" s="15" t="s">
        <v>16</v>
      </c>
      <c r="E349" s="15">
        <v>12</v>
      </c>
      <c r="F349" s="15">
        <v>26281</v>
      </c>
      <c r="G349" s="16">
        <f>'Data File'!$F349*'Data File'!$E349</f>
        <v>315372</v>
      </c>
    </row>
    <row r="350" spans="1:7" x14ac:dyDescent="0.35">
      <c r="A350" s="11">
        <v>45053.798796296294</v>
      </c>
      <c r="B350" s="12" t="s">
        <v>7</v>
      </c>
      <c r="C350" s="12" t="s">
        <v>10</v>
      </c>
      <c r="D350" s="12" t="s">
        <v>17</v>
      </c>
      <c r="E350" s="12">
        <v>12</v>
      </c>
      <c r="F350" s="12">
        <v>15442</v>
      </c>
      <c r="G350" s="13">
        <f>'Data File'!$F350*'Data File'!$E350</f>
        <v>185304</v>
      </c>
    </row>
    <row r="351" spans="1:7" x14ac:dyDescent="0.35">
      <c r="A351" s="14">
        <v>45054.163159722222</v>
      </c>
      <c r="B351" s="15" t="s">
        <v>6</v>
      </c>
      <c r="C351" s="15" t="s">
        <v>11</v>
      </c>
      <c r="D351" s="15" t="s">
        <v>15</v>
      </c>
      <c r="E351" s="15">
        <v>14</v>
      </c>
      <c r="F351" s="15">
        <v>32586</v>
      </c>
      <c r="G351" s="16">
        <f>'Data File'!$F351*'Data File'!$E351</f>
        <v>456204</v>
      </c>
    </row>
    <row r="352" spans="1:7" x14ac:dyDescent="0.35">
      <c r="A352" s="11">
        <v>45054.52752314815</v>
      </c>
      <c r="B352" s="12" t="s">
        <v>7</v>
      </c>
      <c r="C352" s="12" t="s">
        <v>21</v>
      </c>
      <c r="D352" s="12" t="s">
        <v>19</v>
      </c>
      <c r="E352" s="12">
        <v>15</v>
      </c>
      <c r="F352" s="12">
        <v>58053</v>
      </c>
      <c r="G352" s="13">
        <f>'Data File'!$F352*'Data File'!$E352</f>
        <v>870795</v>
      </c>
    </row>
    <row r="353" spans="1:7" x14ac:dyDescent="0.35">
      <c r="A353" s="14">
        <v>45054.891886574071</v>
      </c>
      <c r="B353" s="15" t="s">
        <v>13</v>
      </c>
      <c r="C353" s="15" t="s">
        <v>21</v>
      </c>
      <c r="D353" s="15" t="s">
        <v>17</v>
      </c>
      <c r="E353" s="15">
        <v>15</v>
      </c>
      <c r="F353" s="15">
        <v>55489</v>
      </c>
      <c r="G353" s="16">
        <f>'Data File'!$F353*'Data File'!$E353</f>
        <v>832335</v>
      </c>
    </row>
    <row r="354" spans="1:7" x14ac:dyDescent="0.35">
      <c r="A354" s="11">
        <v>45055.256261574075</v>
      </c>
      <c r="B354" s="12" t="s">
        <v>13</v>
      </c>
      <c r="C354" s="12" t="s">
        <v>9</v>
      </c>
      <c r="D354" s="12" t="s">
        <v>16</v>
      </c>
      <c r="E354" s="12">
        <v>9</v>
      </c>
      <c r="F354" s="12">
        <v>72087</v>
      </c>
      <c r="G354" s="13">
        <f>'Data File'!$F354*'Data File'!$E354</f>
        <v>648783</v>
      </c>
    </row>
    <row r="355" spans="1:7" x14ac:dyDescent="0.35">
      <c r="A355" s="14">
        <v>45055.620625000003</v>
      </c>
      <c r="B355" s="15" t="s">
        <v>7</v>
      </c>
      <c r="C355" s="15" t="s">
        <v>10</v>
      </c>
      <c r="D355" s="15" t="s">
        <v>18</v>
      </c>
      <c r="E355" s="15">
        <v>19</v>
      </c>
      <c r="F355" s="15">
        <v>17625</v>
      </c>
      <c r="G355" s="16">
        <f>'Data File'!$F355*'Data File'!$E355</f>
        <v>334875</v>
      </c>
    </row>
    <row r="356" spans="1:7" x14ac:dyDescent="0.35">
      <c r="A356" s="11">
        <v>45055.984988425924</v>
      </c>
      <c r="B356" s="12" t="s">
        <v>7</v>
      </c>
      <c r="C356" s="12" t="s">
        <v>21</v>
      </c>
      <c r="D356" s="12" t="s">
        <v>16</v>
      </c>
      <c r="E356" s="12">
        <v>8</v>
      </c>
      <c r="F356" s="12">
        <v>39397</v>
      </c>
      <c r="G356" s="13">
        <f>'Data File'!$F356*'Data File'!$E356</f>
        <v>315176</v>
      </c>
    </row>
    <row r="357" spans="1:7" x14ac:dyDescent="0.35">
      <c r="A357" s="14">
        <v>45056.349351851852</v>
      </c>
      <c r="B357" s="15" t="s">
        <v>6</v>
      </c>
      <c r="C357" s="15" t="s">
        <v>11</v>
      </c>
      <c r="D357" s="15" t="s">
        <v>18</v>
      </c>
      <c r="E357" s="15">
        <v>19</v>
      </c>
      <c r="F357" s="15">
        <v>63671</v>
      </c>
      <c r="G357" s="16">
        <f>'Data File'!$F357*'Data File'!$E357</f>
        <v>1209749</v>
      </c>
    </row>
    <row r="358" spans="1:7" x14ac:dyDescent="0.35">
      <c r="A358" s="11">
        <v>45056.71371527778</v>
      </c>
      <c r="B358" s="12" t="s">
        <v>12</v>
      </c>
      <c r="C358" s="12" t="s">
        <v>11</v>
      </c>
      <c r="D358" s="12" t="s">
        <v>17</v>
      </c>
      <c r="E358" s="12">
        <v>6</v>
      </c>
      <c r="F358" s="12">
        <v>71897</v>
      </c>
      <c r="G358" s="13">
        <f>'Data File'!$F358*'Data File'!$E358</f>
        <v>431382</v>
      </c>
    </row>
    <row r="359" spans="1:7" x14ac:dyDescent="0.35">
      <c r="A359" s="14">
        <v>45057.0780787037</v>
      </c>
      <c r="B359" s="15" t="s">
        <v>7</v>
      </c>
      <c r="C359" s="15" t="s">
        <v>21</v>
      </c>
      <c r="D359" s="15" t="s">
        <v>15</v>
      </c>
      <c r="E359" s="15">
        <v>19</v>
      </c>
      <c r="F359" s="15">
        <v>31149</v>
      </c>
      <c r="G359" s="16">
        <f>'Data File'!$F359*'Data File'!$E359</f>
        <v>591831</v>
      </c>
    </row>
    <row r="360" spans="1:7" x14ac:dyDescent="0.35">
      <c r="A360" s="11">
        <v>45057.442442129628</v>
      </c>
      <c r="B360" s="12" t="s">
        <v>13</v>
      </c>
      <c r="C360" s="12" t="s">
        <v>10</v>
      </c>
      <c r="D360" s="12" t="s">
        <v>16</v>
      </c>
      <c r="E360" s="12">
        <v>4</v>
      </c>
      <c r="F360" s="12">
        <v>65030</v>
      </c>
      <c r="G360" s="13">
        <f>'Data File'!$F360*'Data File'!$E360</f>
        <v>260120</v>
      </c>
    </row>
    <row r="361" spans="1:7" x14ac:dyDescent="0.35">
      <c r="A361" s="14">
        <v>45057.806805555556</v>
      </c>
      <c r="B361" s="15" t="s">
        <v>6</v>
      </c>
      <c r="C361" s="15" t="s">
        <v>11</v>
      </c>
      <c r="D361" s="15" t="s">
        <v>18</v>
      </c>
      <c r="E361" s="15">
        <v>7</v>
      </c>
      <c r="F361" s="15">
        <v>74906</v>
      </c>
      <c r="G361" s="16">
        <f>'Data File'!$F361*'Data File'!$E361</f>
        <v>524342</v>
      </c>
    </row>
    <row r="362" spans="1:7" x14ac:dyDescent="0.35">
      <c r="A362" s="11">
        <v>45058.171168981484</v>
      </c>
      <c r="B362" s="12" t="s">
        <v>7</v>
      </c>
      <c r="C362" s="12" t="s">
        <v>9</v>
      </c>
      <c r="D362" s="12" t="s">
        <v>15</v>
      </c>
      <c r="E362" s="12">
        <v>4</v>
      </c>
      <c r="F362" s="12">
        <v>10283</v>
      </c>
      <c r="G362" s="13">
        <f>'Data File'!$F362*'Data File'!$E362</f>
        <v>41132</v>
      </c>
    </row>
    <row r="363" spans="1:7" x14ac:dyDescent="0.35">
      <c r="A363" s="14">
        <v>45058.535532407404</v>
      </c>
      <c r="B363" s="15" t="s">
        <v>13</v>
      </c>
      <c r="C363" s="15" t="s">
        <v>11</v>
      </c>
      <c r="D363" s="15" t="s">
        <v>19</v>
      </c>
      <c r="E363" s="15">
        <v>12</v>
      </c>
      <c r="F363" s="15">
        <v>12610</v>
      </c>
      <c r="G363" s="16">
        <f>'Data File'!$F363*'Data File'!$E363</f>
        <v>151320</v>
      </c>
    </row>
    <row r="364" spans="1:7" x14ac:dyDescent="0.35">
      <c r="A364" s="11">
        <v>45058.899895833332</v>
      </c>
      <c r="B364" s="12" t="s">
        <v>13</v>
      </c>
      <c r="C364" s="12" t="s">
        <v>8</v>
      </c>
      <c r="D364" s="12" t="s">
        <v>18</v>
      </c>
      <c r="E364" s="12">
        <v>13</v>
      </c>
      <c r="F364" s="12">
        <v>48326</v>
      </c>
      <c r="G364" s="13">
        <f>'Data File'!$F364*'Data File'!$E364</f>
        <v>628238</v>
      </c>
    </row>
    <row r="365" spans="1:7" x14ac:dyDescent="0.35">
      <c r="A365" s="14">
        <v>45059.26425925926</v>
      </c>
      <c r="B365" s="15" t="s">
        <v>12</v>
      </c>
      <c r="C365" s="15" t="s">
        <v>8</v>
      </c>
      <c r="D365" s="15" t="s">
        <v>17</v>
      </c>
      <c r="E365" s="15">
        <v>3</v>
      </c>
      <c r="F365" s="15">
        <v>19924</v>
      </c>
      <c r="G365" s="16">
        <f>'Data File'!$F365*'Data File'!$E365</f>
        <v>59772</v>
      </c>
    </row>
    <row r="366" spans="1:7" x14ac:dyDescent="0.35">
      <c r="A366" s="11">
        <v>45059.628634259258</v>
      </c>
      <c r="B366" s="12" t="s">
        <v>6</v>
      </c>
      <c r="C366" s="12" t="s">
        <v>10</v>
      </c>
      <c r="D366" s="12" t="s">
        <v>19</v>
      </c>
      <c r="E366" s="12">
        <v>12</v>
      </c>
      <c r="F366" s="12">
        <v>5869</v>
      </c>
      <c r="G366" s="13">
        <f>'Data File'!$F366*'Data File'!$E366</f>
        <v>70428</v>
      </c>
    </row>
    <row r="367" spans="1:7" x14ac:dyDescent="0.35">
      <c r="A367" s="14">
        <v>45059.992997685185</v>
      </c>
      <c r="B367" s="15" t="s">
        <v>6</v>
      </c>
      <c r="C367" s="15" t="s">
        <v>21</v>
      </c>
      <c r="D367" s="15" t="s">
        <v>19</v>
      </c>
      <c r="E367" s="15">
        <v>2</v>
      </c>
      <c r="F367" s="15">
        <v>6014</v>
      </c>
      <c r="G367" s="16">
        <f>'Data File'!$F367*'Data File'!$E367</f>
        <v>12028</v>
      </c>
    </row>
    <row r="368" spans="1:7" x14ac:dyDescent="0.35">
      <c r="A368" s="11">
        <v>45060.357361111113</v>
      </c>
      <c r="B368" s="12" t="s">
        <v>12</v>
      </c>
      <c r="C368" s="12" t="s">
        <v>10</v>
      </c>
      <c r="D368" s="12" t="s">
        <v>14</v>
      </c>
      <c r="E368" s="12">
        <v>2</v>
      </c>
      <c r="F368" s="12">
        <v>15103</v>
      </c>
      <c r="G368" s="13">
        <f>'Data File'!$F368*'Data File'!$E368</f>
        <v>30206</v>
      </c>
    </row>
    <row r="369" spans="1:7" x14ac:dyDescent="0.35">
      <c r="A369" s="14">
        <v>45060.721724537034</v>
      </c>
      <c r="B369" s="15" t="s">
        <v>12</v>
      </c>
      <c r="C369" s="15" t="s">
        <v>10</v>
      </c>
      <c r="D369" s="15" t="s">
        <v>16</v>
      </c>
      <c r="E369" s="15">
        <v>9</v>
      </c>
      <c r="F369" s="15">
        <v>38458</v>
      </c>
      <c r="G369" s="16">
        <f>'Data File'!$F369*'Data File'!$E369</f>
        <v>346122</v>
      </c>
    </row>
    <row r="370" spans="1:7" x14ac:dyDescent="0.35">
      <c r="A370" s="11">
        <v>45061.086087962962</v>
      </c>
      <c r="B370" s="12" t="s">
        <v>6</v>
      </c>
      <c r="C370" s="12" t="s">
        <v>10</v>
      </c>
      <c r="D370" s="12" t="s">
        <v>18</v>
      </c>
      <c r="E370" s="12">
        <v>1</v>
      </c>
      <c r="F370" s="12">
        <v>28248</v>
      </c>
      <c r="G370" s="13">
        <f>'Data File'!$F370*'Data File'!$E370</f>
        <v>28248</v>
      </c>
    </row>
    <row r="371" spans="1:7" x14ac:dyDescent="0.35">
      <c r="A371" s="14">
        <v>45061.45045138889</v>
      </c>
      <c r="B371" s="15" t="s">
        <v>6</v>
      </c>
      <c r="C371" s="15" t="s">
        <v>10</v>
      </c>
      <c r="D371" s="15" t="s">
        <v>19</v>
      </c>
      <c r="E371" s="15">
        <v>8</v>
      </c>
      <c r="F371" s="15">
        <v>48516</v>
      </c>
      <c r="G371" s="16">
        <f>'Data File'!$F371*'Data File'!$E371</f>
        <v>388128</v>
      </c>
    </row>
    <row r="372" spans="1:7" x14ac:dyDescent="0.35">
      <c r="A372" s="11">
        <v>45061.814814814818</v>
      </c>
      <c r="B372" s="12" t="s">
        <v>7</v>
      </c>
      <c r="C372" s="12" t="s">
        <v>9</v>
      </c>
      <c r="D372" s="12" t="s">
        <v>14</v>
      </c>
      <c r="E372" s="12">
        <v>6</v>
      </c>
      <c r="F372" s="12">
        <v>34061</v>
      </c>
      <c r="G372" s="13">
        <f>'Data File'!$F372*'Data File'!$E372</f>
        <v>204366</v>
      </c>
    </row>
    <row r="373" spans="1:7" x14ac:dyDescent="0.35">
      <c r="A373" s="14">
        <v>45062.179178240738</v>
      </c>
      <c r="B373" s="15" t="s">
        <v>7</v>
      </c>
      <c r="C373" s="15" t="s">
        <v>9</v>
      </c>
      <c r="D373" s="15" t="s">
        <v>17</v>
      </c>
      <c r="E373" s="15">
        <v>6</v>
      </c>
      <c r="F373" s="15">
        <v>29170</v>
      </c>
      <c r="G373" s="16">
        <f>'Data File'!$F373*'Data File'!$E373</f>
        <v>175020</v>
      </c>
    </row>
    <row r="374" spans="1:7" x14ac:dyDescent="0.35">
      <c r="A374" s="11">
        <v>45062.543541666666</v>
      </c>
      <c r="B374" s="12" t="s">
        <v>12</v>
      </c>
      <c r="C374" s="12" t="s">
        <v>11</v>
      </c>
      <c r="D374" s="12" t="s">
        <v>15</v>
      </c>
      <c r="E374" s="12">
        <v>18</v>
      </c>
      <c r="F374" s="12">
        <v>13024</v>
      </c>
      <c r="G374" s="13">
        <f>'Data File'!$F374*'Data File'!$E374</f>
        <v>234432</v>
      </c>
    </row>
    <row r="375" spans="1:7" x14ac:dyDescent="0.35">
      <c r="A375" s="14">
        <v>45062.907905092594</v>
      </c>
      <c r="B375" s="15" t="s">
        <v>7</v>
      </c>
      <c r="C375" s="15" t="s">
        <v>8</v>
      </c>
      <c r="D375" s="15" t="s">
        <v>18</v>
      </c>
      <c r="E375" s="15">
        <v>17</v>
      </c>
      <c r="F375" s="15">
        <v>48803</v>
      </c>
      <c r="G375" s="16">
        <f>'Data File'!$F375*'Data File'!$E375</f>
        <v>829651</v>
      </c>
    </row>
    <row r="376" spans="1:7" x14ac:dyDescent="0.35">
      <c r="A376" s="11">
        <v>45063.272268518522</v>
      </c>
      <c r="B376" s="12" t="s">
        <v>13</v>
      </c>
      <c r="C376" s="12" t="s">
        <v>10</v>
      </c>
      <c r="D376" s="12" t="s">
        <v>19</v>
      </c>
      <c r="E376" s="12">
        <v>12</v>
      </c>
      <c r="F376" s="12">
        <v>24296</v>
      </c>
      <c r="G376" s="13">
        <f>'Data File'!$F376*'Data File'!$E376</f>
        <v>291552</v>
      </c>
    </row>
    <row r="377" spans="1:7" x14ac:dyDescent="0.35">
      <c r="A377" s="14">
        <v>45063.636631944442</v>
      </c>
      <c r="B377" s="15" t="s">
        <v>7</v>
      </c>
      <c r="C377" s="15" t="s">
        <v>11</v>
      </c>
      <c r="D377" s="15" t="s">
        <v>16</v>
      </c>
      <c r="E377" s="15">
        <v>6</v>
      </c>
      <c r="F377" s="15">
        <v>23257</v>
      </c>
      <c r="G377" s="16">
        <f>'Data File'!$F377*'Data File'!$E377</f>
        <v>139542</v>
      </c>
    </row>
    <row r="378" spans="1:7" x14ac:dyDescent="0.35">
      <c r="A378" s="11">
        <v>45064.00099537037</v>
      </c>
      <c r="B378" s="12" t="s">
        <v>7</v>
      </c>
      <c r="C378" s="12" t="s">
        <v>8</v>
      </c>
      <c r="D378" s="12" t="s">
        <v>14</v>
      </c>
      <c r="E378" s="12">
        <v>8</v>
      </c>
      <c r="F378" s="12">
        <v>17855</v>
      </c>
      <c r="G378" s="13">
        <f>'Data File'!$F378*'Data File'!$E378</f>
        <v>142840</v>
      </c>
    </row>
    <row r="379" spans="1:7" x14ac:dyDescent="0.35">
      <c r="A379" s="14">
        <v>45064.365370370368</v>
      </c>
      <c r="B379" s="15" t="s">
        <v>13</v>
      </c>
      <c r="C379" s="15" t="s">
        <v>21</v>
      </c>
      <c r="D379" s="15" t="s">
        <v>19</v>
      </c>
      <c r="E379" s="15">
        <v>19</v>
      </c>
      <c r="F379" s="15">
        <v>25025</v>
      </c>
      <c r="G379" s="16">
        <f>'Data File'!$F379*'Data File'!$E379</f>
        <v>475475</v>
      </c>
    </row>
    <row r="380" spans="1:7" x14ac:dyDescent="0.35">
      <c r="A380" s="11">
        <v>45064.729733796295</v>
      </c>
      <c r="B380" s="12" t="s">
        <v>12</v>
      </c>
      <c r="C380" s="12" t="s">
        <v>9</v>
      </c>
      <c r="D380" s="12" t="s">
        <v>16</v>
      </c>
      <c r="E380" s="12">
        <v>10</v>
      </c>
      <c r="F380" s="12">
        <v>9458</v>
      </c>
      <c r="G380" s="13">
        <f>'Data File'!$F380*'Data File'!$E380</f>
        <v>94580</v>
      </c>
    </row>
    <row r="381" spans="1:7" x14ac:dyDescent="0.35">
      <c r="A381" s="14">
        <v>45065.094097222223</v>
      </c>
      <c r="B381" s="15" t="s">
        <v>13</v>
      </c>
      <c r="C381" s="15" t="s">
        <v>8</v>
      </c>
      <c r="D381" s="15" t="s">
        <v>19</v>
      </c>
      <c r="E381" s="15">
        <v>1</v>
      </c>
      <c r="F381" s="15">
        <v>68610</v>
      </c>
      <c r="G381" s="16">
        <f>'Data File'!$F381*'Data File'!$E381</f>
        <v>68610</v>
      </c>
    </row>
    <row r="382" spans="1:7" x14ac:dyDescent="0.35">
      <c r="A382" s="11">
        <v>45065.458460648151</v>
      </c>
      <c r="B382" s="12" t="s">
        <v>7</v>
      </c>
      <c r="C382" s="12" t="s">
        <v>21</v>
      </c>
      <c r="D382" s="12" t="s">
        <v>18</v>
      </c>
      <c r="E382" s="12">
        <v>13</v>
      </c>
      <c r="F382" s="12">
        <v>54831</v>
      </c>
      <c r="G382" s="13">
        <f>'Data File'!$F382*'Data File'!$E382</f>
        <v>712803</v>
      </c>
    </row>
    <row r="383" spans="1:7" x14ac:dyDescent="0.35">
      <c r="A383" s="14">
        <v>45065.822824074072</v>
      </c>
      <c r="B383" s="15" t="s">
        <v>12</v>
      </c>
      <c r="C383" s="15" t="s">
        <v>8</v>
      </c>
      <c r="D383" s="15" t="s">
        <v>18</v>
      </c>
      <c r="E383" s="15">
        <v>17</v>
      </c>
      <c r="F383" s="15">
        <v>48427</v>
      </c>
      <c r="G383" s="16">
        <f>'Data File'!$F383*'Data File'!$E383</f>
        <v>823259</v>
      </c>
    </row>
    <row r="384" spans="1:7" x14ac:dyDescent="0.35">
      <c r="A384" s="11">
        <v>45066.1871875</v>
      </c>
      <c r="B384" s="12" t="s">
        <v>7</v>
      </c>
      <c r="C384" s="12" t="s">
        <v>9</v>
      </c>
      <c r="D384" s="12" t="s">
        <v>18</v>
      </c>
      <c r="E384" s="12">
        <v>3</v>
      </c>
      <c r="F384" s="12">
        <v>43506</v>
      </c>
      <c r="G384" s="13">
        <f>'Data File'!$F384*'Data File'!$E384</f>
        <v>130518</v>
      </c>
    </row>
    <row r="385" spans="1:7" x14ac:dyDescent="0.35">
      <c r="A385" s="14">
        <v>45066.551550925928</v>
      </c>
      <c r="B385" s="15" t="s">
        <v>13</v>
      </c>
      <c r="C385" s="15" t="s">
        <v>9</v>
      </c>
      <c r="D385" s="15" t="s">
        <v>17</v>
      </c>
      <c r="E385" s="15">
        <v>8</v>
      </c>
      <c r="F385" s="15">
        <v>10668</v>
      </c>
      <c r="G385" s="16">
        <f>'Data File'!$F385*'Data File'!$E385</f>
        <v>85344</v>
      </c>
    </row>
    <row r="386" spans="1:7" x14ac:dyDescent="0.35">
      <c r="A386" s="11">
        <v>45066.915914351855</v>
      </c>
      <c r="B386" s="12" t="s">
        <v>13</v>
      </c>
      <c r="C386" s="12" t="s">
        <v>11</v>
      </c>
      <c r="D386" s="12" t="s">
        <v>17</v>
      </c>
      <c r="E386" s="12">
        <v>14</v>
      </c>
      <c r="F386" s="12">
        <v>52195</v>
      </c>
      <c r="G386" s="13">
        <f>'Data File'!$F386*'Data File'!$E386</f>
        <v>730730</v>
      </c>
    </row>
    <row r="387" spans="1:7" x14ac:dyDescent="0.35">
      <c r="A387" s="14">
        <v>45067.280277777776</v>
      </c>
      <c r="B387" s="15" t="s">
        <v>7</v>
      </c>
      <c r="C387" s="15" t="s">
        <v>10</v>
      </c>
      <c r="D387" s="15" t="s">
        <v>14</v>
      </c>
      <c r="E387" s="15">
        <v>3</v>
      </c>
      <c r="F387" s="15">
        <v>29417</v>
      </c>
      <c r="G387" s="16">
        <f>'Data File'!$F387*'Data File'!$E387</f>
        <v>88251</v>
      </c>
    </row>
    <row r="388" spans="1:7" x14ac:dyDescent="0.35">
      <c r="A388" s="11">
        <v>45067.644641203704</v>
      </c>
      <c r="B388" s="12" t="s">
        <v>6</v>
      </c>
      <c r="C388" s="12" t="s">
        <v>8</v>
      </c>
      <c r="D388" s="12" t="s">
        <v>18</v>
      </c>
      <c r="E388" s="12">
        <v>16</v>
      </c>
      <c r="F388" s="12">
        <v>15751</v>
      </c>
      <c r="G388" s="13">
        <f>'Data File'!$F388*'Data File'!$E388</f>
        <v>252016</v>
      </c>
    </row>
    <row r="389" spans="1:7" x14ac:dyDescent="0.35">
      <c r="A389" s="14">
        <v>45068.009004629632</v>
      </c>
      <c r="B389" s="15" t="s">
        <v>6</v>
      </c>
      <c r="C389" s="15" t="s">
        <v>8</v>
      </c>
      <c r="D389" s="15" t="s">
        <v>16</v>
      </c>
      <c r="E389" s="15">
        <v>13</v>
      </c>
      <c r="F389" s="15">
        <v>51218</v>
      </c>
      <c r="G389" s="16">
        <f>'Data File'!$F389*'Data File'!$E389</f>
        <v>665834</v>
      </c>
    </row>
    <row r="390" spans="1:7" x14ac:dyDescent="0.35">
      <c r="A390" s="11">
        <v>45068.373368055552</v>
      </c>
      <c r="B390" s="12" t="s">
        <v>13</v>
      </c>
      <c r="C390" s="12" t="s">
        <v>21</v>
      </c>
      <c r="D390" s="12" t="s">
        <v>19</v>
      </c>
      <c r="E390" s="12">
        <v>17</v>
      </c>
      <c r="F390" s="12">
        <v>12352</v>
      </c>
      <c r="G390" s="13">
        <f>'Data File'!$F390*'Data File'!$E390</f>
        <v>209984</v>
      </c>
    </row>
    <row r="391" spans="1:7" x14ac:dyDescent="0.35">
      <c r="A391" s="14">
        <v>45068.737743055557</v>
      </c>
      <c r="B391" s="15" t="s">
        <v>13</v>
      </c>
      <c r="C391" s="15" t="s">
        <v>9</v>
      </c>
      <c r="D391" s="15" t="s">
        <v>15</v>
      </c>
      <c r="E391" s="15">
        <v>13</v>
      </c>
      <c r="F391" s="15">
        <v>33927</v>
      </c>
      <c r="G391" s="16">
        <f>'Data File'!$F391*'Data File'!$E391</f>
        <v>441051</v>
      </c>
    </row>
    <row r="392" spans="1:7" x14ac:dyDescent="0.35">
      <c r="A392" s="11">
        <v>45069.102106481485</v>
      </c>
      <c r="B392" s="12" t="s">
        <v>6</v>
      </c>
      <c r="C392" s="12" t="s">
        <v>8</v>
      </c>
      <c r="D392" s="12" t="s">
        <v>16</v>
      </c>
      <c r="E392" s="12">
        <v>6</v>
      </c>
      <c r="F392" s="12">
        <v>46094</v>
      </c>
      <c r="G392" s="13">
        <f>'Data File'!$F392*'Data File'!$E392</f>
        <v>276564</v>
      </c>
    </row>
    <row r="393" spans="1:7" x14ac:dyDescent="0.35">
      <c r="A393" s="14">
        <v>45069.466469907406</v>
      </c>
      <c r="B393" s="15" t="s">
        <v>6</v>
      </c>
      <c r="C393" s="15" t="s">
        <v>9</v>
      </c>
      <c r="D393" s="15" t="s">
        <v>17</v>
      </c>
      <c r="E393" s="15">
        <v>17</v>
      </c>
      <c r="F393" s="15">
        <v>59122</v>
      </c>
      <c r="G393" s="16">
        <f>'Data File'!$F393*'Data File'!$E393</f>
        <v>1005074</v>
      </c>
    </row>
    <row r="394" spans="1:7" x14ac:dyDescent="0.35">
      <c r="A394" s="11">
        <v>45069.830833333333</v>
      </c>
      <c r="B394" s="12" t="s">
        <v>7</v>
      </c>
      <c r="C394" s="12" t="s">
        <v>8</v>
      </c>
      <c r="D394" s="12" t="s">
        <v>17</v>
      </c>
      <c r="E394" s="12">
        <v>14</v>
      </c>
      <c r="F394" s="12">
        <v>34493</v>
      </c>
      <c r="G394" s="13">
        <f>'Data File'!$F394*'Data File'!$E394</f>
        <v>482902</v>
      </c>
    </row>
    <row r="395" spans="1:7" x14ac:dyDescent="0.35">
      <c r="A395" s="14">
        <v>45070.195196759261</v>
      </c>
      <c r="B395" s="15" t="s">
        <v>7</v>
      </c>
      <c r="C395" s="15" t="s">
        <v>11</v>
      </c>
      <c r="D395" s="15" t="s">
        <v>16</v>
      </c>
      <c r="E395" s="15">
        <v>17</v>
      </c>
      <c r="F395" s="15">
        <v>36707</v>
      </c>
      <c r="G395" s="16">
        <f>'Data File'!$F395*'Data File'!$E395</f>
        <v>624019</v>
      </c>
    </row>
    <row r="396" spans="1:7" x14ac:dyDescent="0.35">
      <c r="A396" s="11">
        <v>45070.559560185182</v>
      </c>
      <c r="B396" s="12" t="s">
        <v>6</v>
      </c>
      <c r="C396" s="12" t="s">
        <v>10</v>
      </c>
      <c r="D396" s="12" t="s">
        <v>17</v>
      </c>
      <c r="E396" s="12">
        <v>8</v>
      </c>
      <c r="F396" s="12">
        <v>73814</v>
      </c>
      <c r="G396" s="13">
        <f>'Data File'!$F396*'Data File'!$E396</f>
        <v>590512</v>
      </c>
    </row>
    <row r="397" spans="1:7" x14ac:dyDescent="0.35">
      <c r="A397" s="14">
        <v>45070.92392361111</v>
      </c>
      <c r="B397" s="15" t="s">
        <v>7</v>
      </c>
      <c r="C397" s="15" t="s">
        <v>8</v>
      </c>
      <c r="D397" s="15" t="s">
        <v>18</v>
      </c>
      <c r="E397" s="15">
        <v>11</v>
      </c>
      <c r="F397" s="15">
        <v>12296</v>
      </c>
      <c r="G397" s="16">
        <f>'Data File'!$F397*'Data File'!$E397</f>
        <v>135256</v>
      </c>
    </row>
    <row r="398" spans="1:7" x14ac:dyDescent="0.35">
      <c r="A398" s="11">
        <v>45071.288287037038</v>
      </c>
      <c r="B398" s="12" t="s">
        <v>7</v>
      </c>
      <c r="C398" s="12" t="s">
        <v>9</v>
      </c>
      <c r="D398" s="12" t="s">
        <v>14</v>
      </c>
      <c r="E398" s="12">
        <v>1</v>
      </c>
      <c r="F398" s="12">
        <v>30398</v>
      </c>
      <c r="G398" s="13">
        <f>'Data File'!$F398*'Data File'!$E398</f>
        <v>30398</v>
      </c>
    </row>
    <row r="399" spans="1:7" x14ac:dyDescent="0.35">
      <c r="A399" s="14">
        <v>45071.652650462966</v>
      </c>
      <c r="B399" s="15" t="s">
        <v>12</v>
      </c>
      <c r="C399" s="15" t="s">
        <v>11</v>
      </c>
      <c r="D399" s="15" t="s">
        <v>19</v>
      </c>
      <c r="E399" s="15">
        <v>7</v>
      </c>
      <c r="F399" s="15">
        <v>40842</v>
      </c>
      <c r="G399" s="16">
        <f>'Data File'!$F399*'Data File'!$E399</f>
        <v>285894</v>
      </c>
    </row>
    <row r="400" spans="1:7" x14ac:dyDescent="0.35">
      <c r="A400" s="11">
        <v>45072.017013888886</v>
      </c>
      <c r="B400" s="12" t="s">
        <v>7</v>
      </c>
      <c r="C400" s="12" t="s">
        <v>8</v>
      </c>
      <c r="D400" s="12" t="s">
        <v>14</v>
      </c>
      <c r="E400" s="12">
        <v>17</v>
      </c>
      <c r="F400" s="12">
        <v>18261</v>
      </c>
      <c r="G400" s="13">
        <f>'Data File'!$F400*'Data File'!$E400</f>
        <v>310437</v>
      </c>
    </row>
    <row r="401" spans="1:7" x14ac:dyDescent="0.35">
      <c r="A401" s="14">
        <v>45072.381377314814</v>
      </c>
      <c r="B401" s="15" t="s">
        <v>13</v>
      </c>
      <c r="C401" s="15" t="s">
        <v>21</v>
      </c>
      <c r="D401" s="15" t="s">
        <v>19</v>
      </c>
      <c r="E401" s="15">
        <v>10</v>
      </c>
      <c r="F401" s="15">
        <v>61704</v>
      </c>
      <c r="G401" s="16">
        <f>'Data File'!$F401*'Data File'!$E401</f>
        <v>617040</v>
      </c>
    </row>
    <row r="402" spans="1:7" x14ac:dyDescent="0.35">
      <c r="A402" s="11">
        <v>45072.745740740742</v>
      </c>
      <c r="B402" s="12" t="s">
        <v>7</v>
      </c>
      <c r="C402" s="12" t="s">
        <v>10</v>
      </c>
      <c r="D402" s="12" t="s">
        <v>19</v>
      </c>
      <c r="E402" s="12">
        <v>11</v>
      </c>
      <c r="F402" s="12">
        <v>72173</v>
      </c>
      <c r="G402" s="13">
        <f>'Data File'!$F402*'Data File'!$E402</f>
        <v>793903</v>
      </c>
    </row>
    <row r="403" spans="1:7" x14ac:dyDescent="0.35">
      <c r="A403" s="14">
        <v>45073.110115740739</v>
      </c>
      <c r="B403" s="15" t="s">
        <v>7</v>
      </c>
      <c r="C403" s="15" t="s">
        <v>8</v>
      </c>
      <c r="D403" s="15" t="s">
        <v>14</v>
      </c>
      <c r="E403" s="15">
        <v>9</v>
      </c>
      <c r="F403" s="15">
        <v>36781</v>
      </c>
      <c r="G403" s="16">
        <f>'Data File'!$F403*'Data File'!$E403</f>
        <v>331029</v>
      </c>
    </row>
    <row r="404" spans="1:7" x14ac:dyDescent="0.35">
      <c r="A404" s="11">
        <v>45073.474479166667</v>
      </c>
      <c r="B404" s="12" t="s">
        <v>6</v>
      </c>
      <c r="C404" s="12" t="s">
        <v>11</v>
      </c>
      <c r="D404" s="12" t="s">
        <v>16</v>
      </c>
      <c r="E404" s="12">
        <v>9</v>
      </c>
      <c r="F404" s="12">
        <v>18652</v>
      </c>
      <c r="G404" s="13">
        <f>'Data File'!$F404*'Data File'!$E404</f>
        <v>167868</v>
      </c>
    </row>
    <row r="405" spans="1:7" x14ac:dyDescent="0.35">
      <c r="A405" s="14">
        <v>45073.838842592595</v>
      </c>
      <c r="B405" s="15" t="s">
        <v>13</v>
      </c>
      <c r="C405" s="15" t="s">
        <v>21</v>
      </c>
      <c r="D405" s="15" t="s">
        <v>19</v>
      </c>
      <c r="E405" s="15">
        <v>5</v>
      </c>
      <c r="F405" s="15">
        <v>10103</v>
      </c>
      <c r="G405" s="16">
        <f>'Data File'!$F405*'Data File'!$E405</f>
        <v>50515</v>
      </c>
    </row>
    <row r="406" spans="1:7" x14ac:dyDescent="0.35">
      <c r="A406" s="11">
        <v>45074.203206018516</v>
      </c>
      <c r="B406" s="12" t="s">
        <v>7</v>
      </c>
      <c r="C406" s="12" t="s">
        <v>11</v>
      </c>
      <c r="D406" s="12" t="s">
        <v>14</v>
      </c>
      <c r="E406" s="12">
        <v>17</v>
      </c>
      <c r="F406" s="12">
        <v>30500</v>
      </c>
      <c r="G406" s="13">
        <f>'Data File'!$F406*'Data File'!$E406</f>
        <v>518500</v>
      </c>
    </row>
    <row r="407" spans="1:7" x14ac:dyDescent="0.35">
      <c r="A407" s="14">
        <v>45074.567569444444</v>
      </c>
      <c r="B407" s="15" t="s">
        <v>7</v>
      </c>
      <c r="C407" s="15" t="s">
        <v>11</v>
      </c>
      <c r="D407" s="15" t="s">
        <v>19</v>
      </c>
      <c r="E407" s="15">
        <v>9</v>
      </c>
      <c r="F407" s="15">
        <v>40529</v>
      </c>
      <c r="G407" s="16">
        <f>'Data File'!$F407*'Data File'!$E407</f>
        <v>364761</v>
      </c>
    </row>
    <row r="408" spans="1:7" x14ac:dyDescent="0.35">
      <c r="A408" s="11">
        <v>45074.931932870371</v>
      </c>
      <c r="B408" s="12" t="s">
        <v>12</v>
      </c>
      <c r="C408" s="12" t="s">
        <v>21</v>
      </c>
      <c r="D408" s="12" t="s">
        <v>15</v>
      </c>
      <c r="E408" s="12">
        <v>17</v>
      </c>
      <c r="F408" s="12">
        <v>23452</v>
      </c>
      <c r="G408" s="13">
        <f>'Data File'!$F408*'Data File'!$E408</f>
        <v>398684</v>
      </c>
    </row>
    <row r="409" spans="1:7" x14ac:dyDescent="0.35">
      <c r="A409" s="14">
        <v>45075.296296296299</v>
      </c>
      <c r="B409" s="15" t="s">
        <v>7</v>
      </c>
      <c r="C409" s="15" t="s">
        <v>11</v>
      </c>
      <c r="D409" s="15" t="s">
        <v>16</v>
      </c>
      <c r="E409" s="15">
        <v>19</v>
      </c>
      <c r="F409" s="15">
        <v>54393</v>
      </c>
      <c r="G409" s="16">
        <f>'Data File'!$F409*'Data File'!$E409</f>
        <v>1033467</v>
      </c>
    </row>
    <row r="410" spans="1:7" x14ac:dyDescent="0.35">
      <c r="A410" s="11">
        <v>45075.66065972222</v>
      </c>
      <c r="B410" s="12" t="s">
        <v>7</v>
      </c>
      <c r="C410" s="12" t="s">
        <v>21</v>
      </c>
      <c r="D410" s="12" t="s">
        <v>18</v>
      </c>
      <c r="E410" s="12">
        <v>7</v>
      </c>
      <c r="F410" s="12">
        <v>36174</v>
      </c>
      <c r="G410" s="13">
        <f>'Data File'!$F410*'Data File'!$E410</f>
        <v>253218</v>
      </c>
    </row>
    <row r="411" spans="1:7" x14ac:dyDescent="0.35">
      <c r="A411" s="14">
        <v>45076.025023148148</v>
      </c>
      <c r="B411" s="15" t="s">
        <v>12</v>
      </c>
      <c r="C411" s="15" t="s">
        <v>8</v>
      </c>
      <c r="D411" s="15" t="s">
        <v>19</v>
      </c>
      <c r="E411" s="15">
        <v>9</v>
      </c>
      <c r="F411" s="15">
        <v>69450</v>
      </c>
      <c r="G411" s="16">
        <f>'Data File'!$F411*'Data File'!$E411</f>
        <v>625050</v>
      </c>
    </row>
    <row r="412" spans="1:7" x14ac:dyDescent="0.35">
      <c r="A412" s="11">
        <v>45076.389386574076</v>
      </c>
      <c r="B412" s="12" t="s">
        <v>6</v>
      </c>
      <c r="C412" s="12" t="s">
        <v>21</v>
      </c>
      <c r="D412" s="12" t="s">
        <v>15</v>
      </c>
      <c r="E412" s="12">
        <v>7</v>
      </c>
      <c r="F412" s="12">
        <v>40436</v>
      </c>
      <c r="G412" s="13">
        <f>'Data File'!$F412*'Data File'!$E412</f>
        <v>283052</v>
      </c>
    </row>
    <row r="413" spans="1:7" x14ac:dyDescent="0.35">
      <c r="A413" s="14">
        <v>45076.753750000003</v>
      </c>
      <c r="B413" s="15" t="s">
        <v>7</v>
      </c>
      <c r="C413" s="15" t="s">
        <v>21</v>
      </c>
      <c r="D413" s="15" t="s">
        <v>18</v>
      </c>
      <c r="E413" s="15">
        <v>13</v>
      </c>
      <c r="F413" s="15">
        <v>52406</v>
      </c>
      <c r="G413" s="16">
        <f>'Data File'!$F413*'Data File'!$E413</f>
        <v>681278</v>
      </c>
    </row>
    <row r="414" spans="1:7" x14ac:dyDescent="0.35">
      <c r="A414" s="11">
        <v>45077.118113425924</v>
      </c>
      <c r="B414" s="12" t="s">
        <v>12</v>
      </c>
      <c r="C414" s="12" t="s">
        <v>10</v>
      </c>
      <c r="D414" s="12" t="s">
        <v>18</v>
      </c>
      <c r="E414" s="12">
        <v>11</v>
      </c>
      <c r="F414" s="12">
        <v>68059</v>
      </c>
      <c r="G414" s="13">
        <f>'Data File'!$F414*'Data File'!$E414</f>
        <v>748649</v>
      </c>
    </row>
    <row r="415" spans="1:7" x14ac:dyDescent="0.35">
      <c r="A415" s="14">
        <v>45077.482476851852</v>
      </c>
      <c r="B415" s="15" t="s">
        <v>13</v>
      </c>
      <c r="C415" s="15" t="s">
        <v>21</v>
      </c>
      <c r="D415" s="15" t="s">
        <v>19</v>
      </c>
      <c r="E415" s="15">
        <v>14</v>
      </c>
      <c r="F415" s="15">
        <v>20954</v>
      </c>
      <c r="G415" s="16">
        <f>'Data File'!$F415*'Data File'!$E415</f>
        <v>293356</v>
      </c>
    </row>
    <row r="416" spans="1:7" x14ac:dyDescent="0.35">
      <c r="A416" s="11">
        <v>45077.846851851849</v>
      </c>
      <c r="B416" s="12" t="s">
        <v>6</v>
      </c>
      <c r="C416" s="12" t="s">
        <v>21</v>
      </c>
      <c r="D416" s="12" t="s">
        <v>14</v>
      </c>
      <c r="E416" s="12">
        <v>19</v>
      </c>
      <c r="F416" s="12">
        <v>17356</v>
      </c>
      <c r="G416" s="13">
        <f>'Data File'!$F416*'Data File'!$E416</f>
        <v>329764</v>
      </c>
    </row>
    <row r="417" spans="1:7" x14ac:dyDescent="0.35">
      <c r="A417" s="14">
        <v>45078.211215277777</v>
      </c>
      <c r="B417" s="15" t="s">
        <v>13</v>
      </c>
      <c r="C417" s="15" t="s">
        <v>8</v>
      </c>
      <c r="D417" s="15" t="s">
        <v>19</v>
      </c>
      <c r="E417" s="15">
        <v>11</v>
      </c>
      <c r="F417" s="15">
        <v>7187</v>
      </c>
      <c r="G417" s="16">
        <f>'Data File'!$F417*'Data File'!$E417</f>
        <v>79057</v>
      </c>
    </row>
    <row r="418" spans="1:7" x14ac:dyDescent="0.35">
      <c r="A418" s="11">
        <v>45078.575578703705</v>
      </c>
      <c r="B418" s="12" t="s">
        <v>13</v>
      </c>
      <c r="C418" s="12" t="s">
        <v>10</v>
      </c>
      <c r="D418" s="12" t="s">
        <v>15</v>
      </c>
      <c r="E418" s="12">
        <v>13</v>
      </c>
      <c r="F418" s="12">
        <v>40098</v>
      </c>
      <c r="G418" s="13">
        <f>'Data File'!$F418*'Data File'!$E418</f>
        <v>521274</v>
      </c>
    </row>
    <row r="419" spans="1:7" x14ac:dyDescent="0.35">
      <c r="A419" s="14">
        <v>45078.939942129633</v>
      </c>
      <c r="B419" s="15" t="s">
        <v>12</v>
      </c>
      <c r="C419" s="15" t="s">
        <v>9</v>
      </c>
      <c r="D419" s="15" t="s">
        <v>18</v>
      </c>
      <c r="E419" s="15">
        <v>14</v>
      </c>
      <c r="F419" s="15">
        <v>26225</v>
      </c>
      <c r="G419" s="16">
        <f>'Data File'!$F419*'Data File'!$E419</f>
        <v>367150</v>
      </c>
    </row>
    <row r="420" spans="1:7" x14ac:dyDescent="0.35">
      <c r="A420" s="11">
        <v>45079.304305555554</v>
      </c>
      <c r="B420" s="12" t="s">
        <v>7</v>
      </c>
      <c r="C420" s="12" t="s">
        <v>8</v>
      </c>
      <c r="D420" s="12" t="s">
        <v>19</v>
      </c>
      <c r="E420" s="12">
        <v>13</v>
      </c>
      <c r="F420" s="12">
        <v>8606</v>
      </c>
      <c r="G420" s="13">
        <f>'Data File'!$F420*'Data File'!$E420</f>
        <v>111878</v>
      </c>
    </row>
    <row r="421" spans="1:7" x14ac:dyDescent="0.35">
      <c r="A421" s="14">
        <v>45079.668668981481</v>
      </c>
      <c r="B421" s="15" t="s">
        <v>12</v>
      </c>
      <c r="C421" s="15" t="s">
        <v>8</v>
      </c>
      <c r="D421" s="15" t="s">
        <v>14</v>
      </c>
      <c r="E421" s="15">
        <v>1</v>
      </c>
      <c r="F421" s="15">
        <v>62620</v>
      </c>
      <c r="G421" s="16">
        <f>'Data File'!$F421*'Data File'!$E421</f>
        <v>62620</v>
      </c>
    </row>
    <row r="422" spans="1:7" x14ac:dyDescent="0.35">
      <c r="A422" s="11">
        <v>45080.033032407409</v>
      </c>
      <c r="B422" s="12" t="s">
        <v>12</v>
      </c>
      <c r="C422" s="12" t="s">
        <v>9</v>
      </c>
      <c r="D422" s="12" t="s">
        <v>19</v>
      </c>
      <c r="E422" s="12">
        <v>8</v>
      </c>
      <c r="F422" s="12">
        <v>37828</v>
      </c>
      <c r="G422" s="13">
        <f>'Data File'!$F422*'Data File'!$E422</f>
        <v>302624</v>
      </c>
    </row>
    <row r="423" spans="1:7" x14ac:dyDescent="0.35">
      <c r="A423" s="14">
        <v>45080.39739583333</v>
      </c>
      <c r="B423" s="15" t="s">
        <v>12</v>
      </c>
      <c r="C423" s="15" t="s">
        <v>21</v>
      </c>
      <c r="D423" s="15" t="s">
        <v>16</v>
      </c>
      <c r="E423" s="15">
        <v>12</v>
      </c>
      <c r="F423" s="15">
        <v>31489</v>
      </c>
      <c r="G423" s="16">
        <f>'Data File'!$F423*'Data File'!$E423</f>
        <v>377868</v>
      </c>
    </row>
    <row r="424" spans="1:7" x14ac:dyDescent="0.35">
      <c r="A424" s="11">
        <v>45080.761759259258</v>
      </c>
      <c r="B424" s="12" t="s">
        <v>12</v>
      </c>
      <c r="C424" s="12" t="s">
        <v>11</v>
      </c>
      <c r="D424" s="12" t="s">
        <v>14</v>
      </c>
      <c r="E424" s="12">
        <v>19</v>
      </c>
      <c r="F424" s="12">
        <v>19387</v>
      </c>
      <c r="G424" s="13">
        <f>'Data File'!$F424*'Data File'!$E424</f>
        <v>368353</v>
      </c>
    </row>
    <row r="425" spans="1:7" x14ac:dyDescent="0.35">
      <c r="A425" s="14">
        <v>45081.126122685186</v>
      </c>
      <c r="B425" s="15" t="s">
        <v>6</v>
      </c>
      <c r="C425" s="15" t="s">
        <v>10</v>
      </c>
      <c r="D425" s="15" t="s">
        <v>15</v>
      </c>
      <c r="E425" s="15">
        <v>12</v>
      </c>
      <c r="F425" s="15">
        <v>74463</v>
      </c>
      <c r="G425" s="16">
        <f>'Data File'!$F425*'Data File'!$E425</f>
        <v>893556</v>
      </c>
    </row>
    <row r="426" spans="1:7" x14ac:dyDescent="0.35">
      <c r="A426" s="11">
        <v>45081.490486111114</v>
      </c>
      <c r="B426" s="12" t="s">
        <v>7</v>
      </c>
      <c r="C426" s="12" t="s">
        <v>11</v>
      </c>
      <c r="D426" s="12" t="s">
        <v>18</v>
      </c>
      <c r="E426" s="12">
        <v>8</v>
      </c>
      <c r="F426" s="12">
        <v>7591</v>
      </c>
      <c r="G426" s="13">
        <f>'Data File'!$F426*'Data File'!$E426</f>
        <v>60728</v>
      </c>
    </row>
    <row r="427" spans="1:7" x14ac:dyDescent="0.35">
      <c r="A427" s="14">
        <v>45081.854849537034</v>
      </c>
      <c r="B427" s="15" t="s">
        <v>13</v>
      </c>
      <c r="C427" s="15" t="s">
        <v>9</v>
      </c>
      <c r="D427" s="15" t="s">
        <v>19</v>
      </c>
      <c r="E427" s="15">
        <v>8</v>
      </c>
      <c r="F427" s="15">
        <v>53516</v>
      </c>
      <c r="G427" s="16">
        <f>'Data File'!$F427*'Data File'!$E427</f>
        <v>428128</v>
      </c>
    </row>
    <row r="428" spans="1:7" x14ac:dyDescent="0.35">
      <c r="A428" s="11">
        <v>45082.219224537039</v>
      </c>
      <c r="B428" s="12" t="s">
        <v>13</v>
      </c>
      <c r="C428" s="12" t="s">
        <v>8</v>
      </c>
      <c r="D428" s="12" t="s">
        <v>14</v>
      </c>
      <c r="E428" s="12">
        <v>13</v>
      </c>
      <c r="F428" s="12">
        <v>67061</v>
      </c>
      <c r="G428" s="13">
        <f>'Data File'!$F428*'Data File'!$E428</f>
        <v>871793</v>
      </c>
    </row>
    <row r="429" spans="1:7" x14ac:dyDescent="0.35">
      <c r="A429" s="14">
        <v>45082.583587962959</v>
      </c>
      <c r="B429" s="15" t="s">
        <v>7</v>
      </c>
      <c r="C429" s="15" t="s">
        <v>8</v>
      </c>
      <c r="D429" s="15" t="s">
        <v>16</v>
      </c>
      <c r="E429" s="15">
        <v>12</v>
      </c>
      <c r="F429" s="15">
        <v>71736</v>
      </c>
      <c r="G429" s="16">
        <f>'Data File'!$F429*'Data File'!$E429</f>
        <v>860832</v>
      </c>
    </row>
    <row r="430" spans="1:7" x14ac:dyDescent="0.35">
      <c r="A430" s="11">
        <v>45082.947951388887</v>
      </c>
      <c r="B430" s="12" t="s">
        <v>13</v>
      </c>
      <c r="C430" s="12" t="s">
        <v>10</v>
      </c>
      <c r="D430" s="12" t="s">
        <v>14</v>
      </c>
      <c r="E430" s="12">
        <v>16</v>
      </c>
      <c r="F430" s="12">
        <v>66753</v>
      </c>
      <c r="G430" s="13">
        <f>'Data File'!$F430*'Data File'!$E430</f>
        <v>1068048</v>
      </c>
    </row>
    <row r="431" spans="1:7" x14ac:dyDescent="0.35">
      <c r="A431" s="14">
        <v>45083.312314814815</v>
      </c>
      <c r="B431" s="15" t="s">
        <v>7</v>
      </c>
      <c r="C431" s="15" t="s">
        <v>8</v>
      </c>
      <c r="D431" s="15" t="s">
        <v>17</v>
      </c>
      <c r="E431" s="15">
        <v>1</v>
      </c>
      <c r="F431" s="15">
        <v>16087</v>
      </c>
      <c r="G431" s="16">
        <f>'Data File'!$F431*'Data File'!$E431</f>
        <v>16087</v>
      </c>
    </row>
    <row r="432" spans="1:7" x14ac:dyDescent="0.35">
      <c r="A432" s="11">
        <v>45083.676678240743</v>
      </c>
      <c r="B432" s="12" t="s">
        <v>13</v>
      </c>
      <c r="C432" s="12" t="s">
        <v>8</v>
      </c>
      <c r="D432" s="12" t="s">
        <v>16</v>
      </c>
      <c r="E432" s="12">
        <v>13</v>
      </c>
      <c r="F432" s="12">
        <v>35816</v>
      </c>
      <c r="G432" s="13">
        <f>'Data File'!$F432*'Data File'!$E432</f>
        <v>465608</v>
      </c>
    </row>
    <row r="433" spans="1:7" x14ac:dyDescent="0.35">
      <c r="A433" s="14">
        <v>45084.041041666664</v>
      </c>
      <c r="B433" s="15" t="s">
        <v>12</v>
      </c>
      <c r="C433" s="15" t="s">
        <v>10</v>
      </c>
      <c r="D433" s="15" t="s">
        <v>15</v>
      </c>
      <c r="E433" s="15">
        <v>7</v>
      </c>
      <c r="F433" s="15">
        <v>28408</v>
      </c>
      <c r="G433" s="16">
        <f>'Data File'!$F433*'Data File'!$E433</f>
        <v>198856</v>
      </c>
    </row>
    <row r="434" spans="1:7" x14ac:dyDescent="0.35">
      <c r="A434" s="11">
        <v>45084.405405092592</v>
      </c>
      <c r="B434" s="12" t="s">
        <v>13</v>
      </c>
      <c r="C434" s="12" t="s">
        <v>10</v>
      </c>
      <c r="D434" s="12" t="s">
        <v>18</v>
      </c>
      <c r="E434" s="12">
        <v>5</v>
      </c>
      <c r="F434" s="12">
        <v>5136</v>
      </c>
      <c r="G434" s="13">
        <f>'Data File'!$F434*'Data File'!$E434</f>
        <v>25680</v>
      </c>
    </row>
    <row r="435" spans="1:7" x14ac:dyDescent="0.35">
      <c r="A435" s="14">
        <v>45084.769768518519</v>
      </c>
      <c r="B435" s="15" t="s">
        <v>7</v>
      </c>
      <c r="C435" s="15" t="s">
        <v>9</v>
      </c>
      <c r="D435" s="15" t="s">
        <v>15</v>
      </c>
      <c r="E435" s="15">
        <v>8</v>
      </c>
      <c r="F435" s="15">
        <v>22413</v>
      </c>
      <c r="G435" s="16">
        <f>'Data File'!$F435*'Data File'!$E435</f>
        <v>179304</v>
      </c>
    </row>
    <row r="436" spans="1:7" x14ac:dyDescent="0.35">
      <c r="A436" s="11">
        <v>45085.134131944447</v>
      </c>
      <c r="B436" s="12" t="s">
        <v>7</v>
      </c>
      <c r="C436" s="12" t="s">
        <v>8</v>
      </c>
      <c r="D436" s="12" t="s">
        <v>19</v>
      </c>
      <c r="E436" s="12">
        <v>14</v>
      </c>
      <c r="F436" s="12">
        <v>64500</v>
      </c>
      <c r="G436" s="13">
        <f>'Data File'!$F436*'Data File'!$E436</f>
        <v>903000</v>
      </c>
    </row>
    <row r="437" spans="1:7" x14ac:dyDescent="0.35">
      <c r="A437" s="14">
        <v>45085.498495370368</v>
      </c>
      <c r="B437" s="15" t="s">
        <v>7</v>
      </c>
      <c r="C437" s="15" t="s">
        <v>8</v>
      </c>
      <c r="D437" s="15" t="s">
        <v>14</v>
      </c>
      <c r="E437" s="15">
        <v>13</v>
      </c>
      <c r="F437" s="15">
        <v>61358</v>
      </c>
      <c r="G437" s="16">
        <f>'Data File'!$F437*'Data File'!$E437</f>
        <v>797654</v>
      </c>
    </row>
    <row r="438" spans="1:7" x14ac:dyDescent="0.35">
      <c r="A438" s="11">
        <v>45085.862858796296</v>
      </c>
      <c r="B438" s="12" t="s">
        <v>7</v>
      </c>
      <c r="C438" s="12" t="s">
        <v>9</v>
      </c>
      <c r="D438" s="12" t="s">
        <v>17</v>
      </c>
      <c r="E438" s="12">
        <v>15</v>
      </c>
      <c r="F438" s="12">
        <v>71197</v>
      </c>
      <c r="G438" s="13">
        <f>'Data File'!$F438*'Data File'!$E438</f>
        <v>1067955</v>
      </c>
    </row>
    <row r="439" spans="1:7" x14ac:dyDescent="0.35">
      <c r="A439" s="14">
        <v>45086.227222222224</v>
      </c>
      <c r="B439" s="15" t="s">
        <v>7</v>
      </c>
      <c r="C439" s="15" t="s">
        <v>21</v>
      </c>
      <c r="D439" s="15" t="s">
        <v>16</v>
      </c>
      <c r="E439" s="15">
        <v>17</v>
      </c>
      <c r="F439" s="15">
        <v>37854</v>
      </c>
      <c r="G439" s="16">
        <f>'Data File'!$F439*'Data File'!$E439</f>
        <v>643518</v>
      </c>
    </row>
    <row r="440" spans="1:7" x14ac:dyDescent="0.35">
      <c r="A440" s="11">
        <v>45086.591597222221</v>
      </c>
      <c r="B440" s="12" t="s">
        <v>6</v>
      </c>
      <c r="C440" s="12" t="s">
        <v>21</v>
      </c>
      <c r="D440" s="12" t="s">
        <v>16</v>
      </c>
      <c r="E440" s="12">
        <v>15</v>
      </c>
      <c r="F440" s="12">
        <v>21322</v>
      </c>
      <c r="G440" s="13">
        <f>'Data File'!$F440*'Data File'!$E440</f>
        <v>319830</v>
      </c>
    </row>
    <row r="441" spans="1:7" x14ac:dyDescent="0.35">
      <c r="A441" s="14">
        <v>45086.955960648149</v>
      </c>
      <c r="B441" s="15" t="s">
        <v>6</v>
      </c>
      <c r="C441" s="15" t="s">
        <v>21</v>
      </c>
      <c r="D441" s="15" t="s">
        <v>14</v>
      </c>
      <c r="E441" s="15">
        <v>18</v>
      </c>
      <c r="F441" s="15">
        <v>11968</v>
      </c>
      <c r="G441" s="16">
        <f>'Data File'!$F441*'Data File'!$E441</f>
        <v>215424</v>
      </c>
    </row>
    <row r="442" spans="1:7" x14ac:dyDescent="0.35">
      <c r="A442" s="11">
        <v>45087.320324074077</v>
      </c>
      <c r="B442" s="12" t="s">
        <v>13</v>
      </c>
      <c r="C442" s="12" t="s">
        <v>9</v>
      </c>
      <c r="D442" s="12" t="s">
        <v>17</v>
      </c>
      <c r="E442" s="12">
        <v>18</v>
      </c>
      <c r="F442" s="12">
        <v>32518</v>
      </c>
      <c r="G442" s="13">
        <f>'Data File'!$F442*'Data File'!$E442</f>
        <v>585324</v>
      </c>
    </row>
    <row r="443" spans="1:7" x14ac:dyDescent="0.35">
      <c r="A443" s="14">
        <v>45087.684687499997</v>
      </c>
      <c r="B443" s="15" t="s">
        <v>7</v>
      </c>
      <c r="C443" s="15" t="s">
        <v>8</v>
      </c>
      <c r="D443" s="15" t="s">
        <v>14</v>
      </c>
      <c r="E443" s="15">
        <v>2</v>
      </c>
      <c r="F443" s="15">
        <v>56925</v>
      </c>
      <c r="G443" s="16">
        <f>'Data File'!$F443*'Data File'!$E443</f>
        <v>113850</v>
      </c>
    </row>
    <row r="444" spans="1:7" x14ac:dyDescent="0.35">
      <c r="A444" s="11">
        <v>45088.049050925925</v>
      </c>
      <c r="B444" s="12" t="s">
        <v>13</v>
      </c>
      <c r="C444" s="12" t="s">
        <v>9</v>
      </c>
      <c r="D444" s="12" t="s">
        <v>19</v>
      </c>
      <c r="E444" s="12">
        <v>4</v>
      </c>
      <c r="F444" s="12">
        <v>64848</v>
      </c>
      <c r="G444" s="13">
        <f>'Data File'!$F444*'Data File'!$E444</f>
        <v>259392</v>
      </c>
    </row>
    <row r="445" spans="1:7" x14ac:dyDescent="0.35">
      <c r="A445" s="14">
        <v>45088.413414351853</v>
      </c>
      <c r="B445" s="15" t="s">
        <v>7</v>
      </c>
      <c r="C445" s="15" t="s">
        <v>9</v>
      </c>
      <c r="D445" s="15" t="s">
        <v>15</v>
      </c>
      <c r="E445" s="15">
        <v>1</v>
      </c>
      <c r="F445" s="15">
        <v>6700</v>
      </c>
      <c r="G445" s="16">
        <f>'Data File'!$F445*'Data File'!$E445</f>
        <v>6700</v>
      </c>
    </row>
    <row r="446" spans="1:7" x14ac:dyDescent="0.35">
      <c r="A446" s="11">
        <v>45088.777777777781</v>
      </c>
      <c r="B446" s="12" t="s">
        <v>7</v>
      </c>
      <c r="C446" s="12" t="s">
        <v>21</v>
      </c>
      <c r="D446" s="12" t="s">
        <v>16</v>
      </c>
      <c r="E446" s="12">
        <v>4</v>
      </c>
      <c r="F446" s="12">
        <v>28199</v>
      </c>
      <c r="G446" s="13">
        <f>'Data File'!$F446*'Data File'!$E446</f>
        <v>112796</v>
      </c>
    </row>
    <row r="447" spans="1:7" x14ac:dyDescent="0.35">
      <c r="A447" s="14">
        <v>45089.142141203702</v>
      </c>
      <c r="B447" s="15" t="s">
        <v>6</v>
      </c>
      <c r="C447" s="15" t="s">
        <v>11</v>
      </c>
      <c r="D447" s="15" t="s">
        <v>19</v>
      </c>
      <c r="E447" s="15">
        <v>18</v>
      </c>
      <c r="F447" s="15">
        <v>49589</v>
      </c>
      <c r="G447" s="16">
        <f>'Data File'!$F447*'Data File'!$E447</f>
        <v>892602</v>
      </c>
    </row>
    <row r="448" spans="1:7" x14ac:dyDescent="0.35">
      <c r="A448" s="11">
        <v>45089.506504629629</v>
      </c>
      <c r="B448" s="12" t="s">
        <v>6</v>
      </c>
      <c r="C448" s="12" t="s">
        <v>8</v>
      </c>
      <c r="D448" s="12" t="s">
        <v>15</v>
      </c>
      <c r="E448" s="12">
        <v>5</v>
      </c>
      <c r="F448" s="12">
        <v>37115</v>
      </c>
      <c r="G448" s="13">
        <f>'Data File'!$F448*'Data File'!$E448</f>
        <v>185575</v>
      </c>
    </row>
    <row r="449" spans="1:7" x14ac:dyDescent="0.35">
      <c r="A449" s="14">
        <v>45089.870868055557</v>
      </c>
      <c r="B449" s="15" t="s">
        <v>12</v>
      </c>
      <c r="C449" s="15" t="s">
        <v>21</v>
      </c>
      <c r="D449" s="15" t="s">
        <v>19</v>
      </c>
      <c r="E449" s="15">
        <v>19</v>
      </c>
      <c r="F449" s="15">
        <v>66934</v>
      </c>
      <c r="G449" s="16">
        <f>'Data File'!$F449*'Data File'!$E449</f>
        <v>1271746</v>
      </c>
    </row>
    <row r="450" spans="1:7" x14ac:dyDescent="0.35">
      <c r="A450" s="11">
        <v>45090.235231481478</v>
      </c>
      <c r="B450" s="12" t="s">
        <v>6</v>
      </c>
      <c r="C450" s="12" t="s">
        <v>11</v>
      </c>
      <c r="D450" s="12" t="s">
        <v>17</v>
      </c>
      <c r="E450" s="12">
        <v>15</v>
      </c>
      <c r="F450" s="12">
        <v>59316</v>
      </c>
      <c r="G450" s="13">
        <f>'Data File'!$F450*'Data File'!$E450</f>
        <v>889740</v>
      </c>
    </row>
    <row r="451" spans="1:7" x14ac:dyDescent="0.35">
      <c r="A451" s="14">
        <v>45090.599594907406</v>
      </c>
      <c r="B451" s="15" t="s">
        <v>12</v>
      </c>
      <c r="C451" s="15" t="s">
        <v>11</v>
      </c>
      <c r="D451" s="15" t="s">
        <v>16</v>
      </c>
      <c r="E451" s="15">
        <v>8</v>
      </c>
      <c r="F451" s="15">
        <v>10520</v>
      </c>
      <c r="G451" s="16">
        <f>'Data File'!$F451*'Data File'!$E451</f>
        <v>84160</v>
      </c>
    </row>
    <row r="452" spans="1:7" x14ac:dyDescent="0.35">
      <c r="A452" s="11">
        <v>45090.963958333334</v>
      </c>
      <c r="B452" s="12" t="s">
        <v>12</v>
      </c>
      <c r="C452" s="12" t="s">
        <v>10</v>
      </c>
      <c r="D452" s="12" t="s">
        <v>14</v>
      </c>
      <c r="E452" s="12">
        <v>17</v>
      </c>
      <c r="F452" s="12">
        <v>41455</v>
      </c>
      <c r="G452" s="13">
        <f>'Data File'!$F452*'Data File'!$E452</f>
        <v>704735</v>
      </c>
    </row>
    <row r="453" spans="1:7" x14ac:dyDescent="0.35">
      <c r="A453" s="14">
        <v>45091.328333333331</v>
      </c>
      <c r="B453" s="15" t="s">
        <v>12</v>
      </c>
      <c r="C453" s="15" t="s">
        <v>8</v>
      </c>
      <c r="D453" s="15" t="s">
        <v>14</v>
      </c>
      <c r="E453" s="15">
        <v>1</v>
      </c>
      <c r="F453" s="15">
        <v>46605</v>
      </c>
      <c r="G453" s="16">
        <f>'Data File'!$F453*'Data File'!$E453</f>
        <v>46605</v>
      </c>
    </row>
    <row r="454" spans="1:7" x14ac:dyDescent="0.35">
      <c r="A454" s="11">
        <v>45091.692696759259</v>
      </c>
      <c r="B454" s="12" t="s">
        <v>12</v>
      </c>
      <c r="C454" s="12" t="s">
        <v>11</v>
      </c>
      <c r="D454" s="12" t="s">
        <v>15</v>
      </c>
      <c r="E454" s="12">
        <v>12</v>
      </c>
      <c r="F454" s="12">
        <v>19955</v>
      </c>
      <c r="G454" s="13">
        <f>'Data File'!$F454*'Data File'!$E454</f>
        <v>239460</v>
      </c>
    </row>
    <row r="455" spans="1:7" x14ac:dyDescent="0.35">
      <c r="A455" s="14">
        <v>45092.057060185187</v>
      </c>
      <c r="B455" s="15" t="s">
        <v>12</v>
      </c>
      <c r="C455" s="15" t="s">
        <v>21</v>
      </c>
      <c r="D455" s="15" t="s">
        <v>18</v>
      </c>
      <c r="E455" s="15">
        <v>19</v>
      </c>
      <c r="F455" s="15">
        <v>49049</v>
      </c>
      <c r="G455" s="16">
        <f>'Data File'!$F455*'Data File'!$E455</f>
        <v>931931</v>
      </c>
    </row>
    <row r="456" spans="1:7" x14ac:dyDescent="0.35">
      <c r="A456" s="11">
        <v>45092.421423611115</v>
      </c>
      <c r="B456" s="12" t="s">
        <v>13</v>
      </c>
      <c r="C456" s="12" t="s">
        <v>10</v>
      </c>
      <c r="D456" s="12" t="s">
        <v>17</v>
      </c>
      <c r="E456" s="12">
        <v>15</v>
      </c>
      <c r="F456" s="12">
        <v>18917</v>
      </c>
      <c r="G456" s="13">
        <f>'Data File'!$F456*'Data File'!$E456</f>
        <v>283755</v>
      </c>
    </row>
    <row r="457" spans="1:7" x14ac:dyDescent="0.35">
      <c r="A457" s="14">
        <v>45092.785787037035</v>
      </c>
      <c r="B457" s="15" t="s">
        <v>6</v>
      </c>
      <c r="C457" s="15" t="s">
        <v>8</v>
      </c>
      <c r="D457" s="15" t="s">
        <v>15</v>
      </c>
      <c r="E457" s="15">
        <v>9</v>
      </c>
      <c r="F457" s="15">
        <v>69925</v>
      </c>
      <c r="G457" s="16">
        <f>'Data File'!$F457*'Data File'!$E457</f>
        <v>629325</v>
      </c>
    </row>
    <row r="458" spans="1:7" x14ac:dyDescent="0.35">
      <c r="A458" s="11">
        <v>45093.150150462963</v>
      </c>
      <c r="B458" s="12" t="s">
        <v>12</v>
      </c>
      <c r="C458" s="12" t="s">
        <v>9</v>
      </c>
      <c r="D458" s="12" t="s">
        <v>18</v>
      </c>
      <c r="E458" s="12">
        <v>7</v>
      </c>
      <c r="F458" s="12">
        <v>35954</v>
      </c>
      <c r="G458" s="13">
        <f>'Data File'!$F458*'Data File'!$E458</f>
        <v>251678</v>
      </c>
    </row>
    <row r="459" spans="1:7" x14ac:dyDescent="0.35">
      <c r="A459" s="14">
        <v>45093.514513888891</v>
      </c>
      <c r="B459" s="15" t="s">
        <v>7</v>
      </c>
      <c r="C459" s="15" t="s">
        <v>21</v>
      </c>
      <c r="D459" s="15" t="s">
        <v>19</v>
      </c>
      <c r="E459" s="15">
        <v>2</v>
      </c>
      <c r="F459" s="15">
        <v>46458</v>
      </c>
      <c r="G459" s="16">
        <f>'Data File'!$F459*'Data File'!$E459</f>
        <v>92916</v>
      </c>
    </row>
    <row r="460" spans="1:7" x14ac:dyDescent="0.35">
      <c r="A460" s="11">
        <v>45093.878877314812</v>
      </c>
      <c r="B460" s="12" t="s">
        <v>6</v>
      </c>
      <c r="C460" s="12" t="s">
        <v>11</v>
      </c>
      <c r="D460" s="12" t="s">
        <v>17</v>
      </c>
      <c r="E460" s="12">
        <v>9</v>
      </c>
      <c r="F460" s="12">
        <v>26113</v>
      </c>
      <c r="G460" s="13">
        <f>'Data File'!$F460*'Data File'!$E460</f>
        <v>235017</v>
      </c>
    </row>
    <row r="461" spans="1:7" x14ac:dyDescent="0.35">
      <c r="A461" s="14">
        <v>45094.24324074074</v>
      </c>
      <c r="B461" s="15" t="s">
        <v>6</v>
      </c>
      <c r="C461" s="15" t="s">
        <v>11</v>
      </c>
      <c r="D461" s="15" t="s">
        <v>19</v>
      </c>
      <c r="E461" s="15">
        <v>10</v>
      </c>
      <c r="F461" s="15">
        <v>48939</v>
      </c>
      <c r="G461" s="16">
        <f>'Data File'!$F461*'Data File'!$E461</f>
        <v>489390</v>
      </c>
    </row>
    <row r="462" spans="1:7" x14ac:dyDescent="0.35">
      <c r="A462" s="11">
        <v>45094.607604166667</v>
      </c>
      <c r="B462" s="12" t="s">
        <v>12</v>
      </c>
      <c r="C462" s="12" t="s">
        <v>21</v>
      </c>
      <c r="D462" s="12" t="s">
        <v>16</v>
      </c>
      <c r="E462" s="12">
        <v>2</v>
      </c>
      <c r="F462" s="12">
        <v>34345</v>
      </c>
      <c r="G462" s="13">
        <f>'Data File'!$F462*'Data File'!$E462</f>
        <v>68690</v>
      </c>
    </row>
    <row r="463" spans="1:7" x14ac:dyDescent="0.35">
      <c r="A463" s="14">
        <v>45094.971967592595</v>
      </c>
      <c r="B463" s="15" t="s">
        <v>13</v>
      </c>
      <c r="C463" s="15" t="s">
        <v>11</v>
      </c>
      <c r="D463" s="15" t="s">
        <v>17</v>
      </c>
      <c r="E463" s="15">
        <v>19</v>
      </c>
      <c r="F463" s="15">
        <v>51313</v>
      </c>
      <c r="G463" s="16">
        <f>'Data File'!$F463*'Data File'!$E463</f>
        <v>974947</v>
      </c>
    </row>
    <row r="464" spans="1:7" x14ac:dyDescent="0.35">
      <c r="A464" s="11">
        <v>45095.336331018516</v>
      </c>
      <c r="B464" s="12" t="s">
        <v>12</v>
      </c>
      <c r="C464" s="12" t="s">
        <v>10</v>
      </c>
      <c r="D464" s="12" t="s">
        <v>18</v>
      </c>
      <c r="E464" s="12">
        <v>11</v>
      </c>
      <c r="F464" s="12">
        <v>74166</v>
      </c>
      <c r="G464" s="13">
        <f>'Data File'!$F464*'Data File'!$E464</f>
        <v>815826</v>
      </c>
    </row>
    <row r="465" spans="1:7" x14ac:dyDescent="0.35">
      <c r="A465" s="14">
        <v>45095.700706018521</v>
      </c>
      <c r="B465" s="15" t="s">
        <v>13</v>
      </c>
      <c r="C465" s="15" t="s">
        <v>8</v>
      </c>
      <c r="D465" s="15" t="s">
        <v>16</v>
      </c>
      <c r="E465" s="15">
        <v>13</v>
      </c>
      <c r="F465" s="15">
        <v>52861</v>
      </c>
      <c r="G465" s="16">
        <f>'Data File'!$F465*'Data File'!$E465</f>
        <v>687193</v>
      </c>
    </row>
    <row r="466" spans="1:7" x14ac:dyDescent="0.35">
      <c r="A466" s="11">
        <v>45096.065069444441</v>
      </c>
      <c r="B466" s="12" t="s">
        <v>7</v>
      </c>
      <c r="C466" s="12" t="s">
        <v>10</v>
      </c>
      <c r="D466" s="12" t="s">
        <v>14</v>
      </c>
      <c r="E466" s="12">
        <v>10</v>
      </c>
      <c r="F466" s="12">
        <v>54298</v>
      </c>
      <c r="G466" s="13">
        <f>'Data File'!$F466*'Data File'!$E466</f>
        <v>542980</v>
      </c>
    </row>
    <row r="467" spans="1:7" x14ac:dyDescent="0.35">
      <c r="A467" s="14">
        <v>45096.429432870369</v>
      </c>
      <c r="B467" s="15" t="s">
        <v>6</v>
      </c>
      <c r="C467" s="15" t="s">
        <v>11</v>
      </c>
      <c r="D467" s="15" t="s">
        <v>18</v>
      </c>
      <c r="E467" s="15">
        <v>14</v>
      </c>
      <c r="F467" s="15">
        <v>52221</v>
      </c>
      <c r="G467" s="16">
        <f>'Data File'!$F467*'Data File'!$E467</f>
        <v>731094</v>
      </c>
    </row>
    <row r="468" spans="1:7" x14ac:dyDescent="0.35">
      <c r="A468" s="11">
        <v>45096.793796296297</v>
      </c>
      <c r="B468" s="12" t="s">
        <v>7</v>
      </c>
      <c r="C468" s="12" t="s">
        <v>9</v>
      </c>
      <c r="D468" s="12" t="s">
        <v>15</v>
      </c>
      <c r="E468" s="12">
        <v>18</v>
      </c>
      <c r="F468" s="12">
        <v>49942</v>
      </c>
      <c r="G468" s="13">
        <f>'Data File'!$F468*'Data File'!$E468</f>
        <v>898956</v>
      </c>
    </row>
    <row r="469" spans="1:7" x14ac:dyDescent="0.35">
      <c r="A469" s="14">
        <v>45097.158159722225</v>
      </c>
      <c r="B469" s="15" t="s">
        <v>13</v>
      </c>
      <c r="C469" s="15" t="s">
        <v>8</v>
      </c>
      <c r="D469" s="15" t="s">
        <v>14</v>
      </c>
      <c r="E469" s="15">
        <v>19</v>
      </c>
      <c r="F469" s="15">
        <v>8453</v>
      </c>
      <c r="G469" s="16">
        <f>'Data File'!$F469*'Data File'!$E469</f>
        <v>160607</v>
      </c>
    </row>
    <row r="470" spans="1:7" x14ac:dyDescent="0.35">
      <c r="A470" s="11">
        <v>45097.522523148145</v>
      </c>
      <c r="B470" s="12" t="s">
        <v>13</v>
      </c>
      <c r="C470" s="12" t="s">
        <v>8</v>
      </c>
      <c r="D470" s="12" t="s">
        <v>14</v>
      </c>
      <c r="E470" s="12">
        <v>9</v>
      </c>
      <c r="F470" s="12">
        <v>59935</v>
      </c>
      <c r="G470" s="13">
        <f>'Data File'!$F470*'Data File'!$E470</f>
        <v>539415</v>
      </c>
    </row>
    <row r="471" spans="1:7" x14ac:dyDescent="0.35">
      <c r="A471" s="14">
        <v>45097.886886574073</v>
      </c>
      <c r="B471" s="15" t="s">
        <v>7</v>
      </c>
      <c r="C471" s="15" t="s">
        <v>21</v>
      </c>
      <c r="D471" s="15" t="s">
        <v>15</v>
      </c>
      <c r="E471" s="15">
        <v>7</v>
      </c>
      <c r="F471" s="15">
        <v>48370</v>
      </c>
      <c r="G471" s="16">
        <f>'Data File'!$F471*'Data File'!$E471</f>
        <v>338590</v>
      </c>
    </row>
    <row r="472" spans="1:7" x14ac:dyDescent="0.35">
      <c r="A472" s="11">
        <v>45098.251250000001</v>
      </c>
      <c r="B472" s="12" t="s">
        <v>13</v>
      </c>
      <c r="C472" s="12" t="s">
        <v>21</v>
      </c>
      <c r="D472" s="12" t="s">
        <v>17</v>
      </c>
      <c r="E472" s="12">
        <v>3</v>
      </c>
      <c r="F472" s="12">
        <v>13328</v>
      </c>
      <c r="G472" s="13">
        <f>'Data File'!$F472*'Data File'!$E472</f>
        <v>39984</v>
      </c>
    </row>
    <row r="473" spans="1:7" x14ac:dyDescent="0.35">
      <c r="A473" s="14">
        <v>45098.615613425929</v>
      </c>
      <c r="B473" s="15" t="s">
        <v>7</v>
      </c>
      <c r="C473" s="15" t="s">
        <v>9</v>
      </c>
      <c r="D473" s="15" t="s">
        <v>14</v>
      </c>
      <c r="E473" s="15">
        <v>6</v>
      </c>
      <c r="F473" s="15">
        <v>20534</v>
      </c>
      <c r="G473" s="16">
        <f>'Data File'!$F473*'Data File'!$E473</f>
        <v>123204</v>
      </c>
    </row>
    <row r="474" spans="1:7" x14ac:dyDescent="0.35">
      <c r="A474" s="11">
        <v>45098.97997685185</v>
      </c>
      <c r="B474" s="12" t="s">
        <v>6</v>
      </c>
      <c r="C474" s="12" t="s">
        <v>8</v>
      </c>
      <c r="D474" s="12" t="s">
        <v>18</v>
      </c>
      <c r="E474" s="12">
        <v>2</v>
      </c>
      <c r="F474" s="12">
        <v>41320</v>
      </c>
      <c r="G474" s="13">
        <f>'Data File'!$F474*'Data File'!$E474</f>
        <v>82640</v>
      </c>
    </row>
    <row r="475" spans="1:7" x14ac:dyDescent="0.35">
      <c r="A475" s="14">
        <v>45099.344340277778</v>
      </c>
      <c r="B475" s="15" t="s">
        <v>7</v>
      </c>
      <c r="C475" s="15" t="s">
        <v>9</v>
      </c>
      <c r="D475" s="15" t="s">
        <v>16</v>
      </c>
      <c r="E475" s="15">
        <v>6</v>
      </c>
      <c r="F475" s="15">
        <v>54170</v>
      </c>
      <c r="G475" s="16">
        <f>'Data File'!$F475*'Data File'!$E475</f>
        <v>325020</v>
      </c>
    </row>
    <row r="476" spans="1:7" x14ac:dyDescent="0.35">
      <c r="A476" s="11">
        <v>45099.708703703705</v>
      </c>
      <c r="B476" s="12" t="s">
        <v>6</v>
      </c>
      <c r="C476" s="12" t="s">
        <v>21</v>
      </c>
      <c r="D476" s="12" t="s">
        <v>14</v>
      </c>
      <c r="E476" s="12">
        <v>3</v>
      </c>
      <c r="F476" s="12">
        <v>13640</v>
      </c>
      <c r="G476" s="13">
        <f>'Data File'!$F476*'Data File'!$E476</f>
        <v>40920</v>
      </c>
    </row>
    <row r="477" spans="1:7" x14ac:dyDescent="0.35">
      <c r="A477" s="14">
        <v>45100.073078703703</v>
      </c>
      <c r="B477" s="15" t="s">
        <v>7</v>
      </c>
      <c r="C477" s="15" t="s">
        <v>21</v>
      </c>
      <c r="D477" s="15" t="s">
        <v>18</v>
      </c>
      <c r="E477" s="15">
        <v>16</v>
      </c>
      <c r="F477" s="15">
        <v>35049</v>
      </c>
      <c r="G477" s="16">
        <f>'Data File'!$F477*'Data File'!$E477</f>
        <v>560784</v>
      </c>
    </row>
    <row r="478" spans="1:7" x14ac:dyDescent="0.35">
      <c r="A478" s="11">
        <v>45100.437442129631</v>
      </c>
      <c r="B478" s="12" t="s">
        <v>13</v>
      </c>
      <c r="C478" s="12" t="s">
        <v>8</v>
      </c>
      <c r="D478" s="12" t="s">
        <v>19</v>
      </c>
      <c r="E478" s="12">
        <v>8</v>
      </c>
      <c r="F478" s="12">
        <v>10618</v>
      </c>
      <c r="G478" s="13">
        <f>'Data File'!$F478*'Data File'!$E478</f>
        <v>84944</v>
      </c>
    </row>
    <row r="479" spans="1:7" x14ac:dyDescent="0.35">
      <c r="A479" s="14">
        <v>45100.801805555559</v>
      </c>
      <c r="B479" s="15" t="s">
        <v>7</v>
      </c>
      <c r="C479" s="15" t="s">
        <v>10</v>
      </c>
      <c r="D479" s="15" t="s">
        <v>18</v>
      </c>
      <c r="E479" s="15">
        <v>2</v>
      </c>
      <c r="F479" s="15">
        <v>61053</v>
      </c>
      <c r="G479" s="16">
        <f>'Data File'!$F479*'Data File'!$E479</f>
        <v>122106</v>
      </c>
    </row>
    <row r="480" spans="1:7" x14ac:dyDescent="0.35">
      <c r="A480" s="11">
        <v>45101.166168981479</v>
      </c>
      <c r="B480" s="12" t="s">
        <v>13</v>
      </c>
      <c r="C480" s="12" t="s">
        <v>11</v>
      </c>
      <c r="D480" s="12" t="s">
        <v>16</v>
      </c>
      <c r="E480" s="12">
        <v>17</v>
      </c>
      <c r="F480" s="12">
        <v>6920</v>
      </c>
      <c r="G480" s="13">
        <f>'Data File'!$F480*'Data File'!$E480</f>
        <v>117640</v>
      </c>
    </row>
    <row r="481" spans="1:7" x14ac:dyDescent="0.35">
      <c r="A481" s="14">
        <v>45101.530532407407</v>
      </c>
      <c r="B481" s="15" t="s">
        <v>7</v>
      </c>
      <c r="C481" s="15" t="s">
        <v>21</v>
      </c>
      <c r="D481" s="15" t="s">
        <v>18</v>
      </c>
      <c r="E481" s="15">
        <v>9</v>
      </c>
      <c r="F481" s="15">
        <v>48937</v>
      </c>
      <c r="G481" s="16">
        <f>'Data File'!$F481*'Data File'!$E481</f>
        <v>440433</v>
      </c>
    </row>
    <row r="482" spans="1:7" x14ac:dyDescent="0.35">
      <c r="A482" s="11">
        <v>45101.894895833335</v>
      </c>
      <c r="B482" s="12" t="s">
        <v>7</v>
      </c>
      <c r="C482" s="12" t="s">
        <v>21</v>
      </c>
      <c r="D482" s="12" t="s">
        <v>15</v>
      </c>
      <c r="E482" s="12">
        <v>12</v>
      </c>
      <c r="F482" s="12">
        <v>74724</v>
      </c>
      <c r="G482" s="13">
        <f>'Data File'!$F482*'Data File'!$E482</f>
        <v>896688</v>
      </c>
    </row>
    <row r="483" spans="1:7" x14ac:dyDescent="0.35">
      <c r="A483" s="14">
        <v>45102.259259259263</v>
      </c>
      <c r="B483" s="15" t="s">
        <v>12</v>
      </c>
      <c r="C483" s="15" t="s">
        <v>10</v>
      </c>
      <c r="D483" s="15" t="s">
        <v>16</v>
      </c>
      <c r="E483" s="15">
        <v>3</v>
      </c>
      <c r="F483" s="15">
        <v>17207</v>
      </c>
      <c r="G483" s="16">
        <f>'Data File'!$F483*'Data File'!$E483</f>
        <v>51621</v>
      </c>
    </row>
    <row r="484" spans="1:7" x14ac:dyDescent="0.35">
      <c r="A484" s="11">
        <v>45102.623622685183</v>
      </c>
      <c r="B484" s="12" t="s">
        <v>13</v>
      </c>
      <c r="C484" s="12" t="s">
        <v>10</v>
      </c>
      <c r="D484" s="12" t="s">
        <v>17</v>
      </c>
      <c r="E484" s="12">
        <v>11</v>
      </c>
      <c r="F484" s="12">
        <v>70774</v>
      </c>
      <c r="G484" s="13">
        <f>'Data File'!$F484*'Data File'!$E484</f>
        <v>778514</v>
      </c>
    </row>
    <row r="485" spans="1:7" x14ac:dyDescent="0.35">
      <c r="A485" s="14">
        <v>45102.987986111111</v>
      </c>
      <c r="B485" s="15" t="s">
        <v>12</v>
      </c>
      <c r="C485" s="15" t="s">
        <v>9</v>
      </c>
      <c r="D485" s="15" t="s">
        <v>19</v>
      </c>
      <c r="E485" s="15">
        <v>1</v>
      </c>
      <c r="F485" s="15">
        <v>37972</v>
      </c>
      <c r="G485" s="16">
        <f>'Data File'!$F485*'Data File'!$E485</f>
        <v>37972</v>
      </c>
    </row>
    <row r="486" spans="1:7" x14ac:dyDescent="0.35">
      <c r="A486" s="11">
        <v>45103.352349537039</v>
      </c>
      <c r="B486" s="12" t="s">
        <v>13</v>
      </c>
      <c r="C486" s="12" t="s">
        <v>9</v>
      </c>
      <c r="D486" s="12" t="s">
        <v>15</v>
      </c>
      <c r="E486" s="12">
        <v>13</v>
      </c>
      <c r="F486" s="12">
        <v>15799</v>
      </c>
      <c r="G486" s="13">
        <f>'Data File'!$F486*'Data File'!$E486</f>
        <v>205387</v>
      </c>
    </row>
    <row r="487" spans="1:7" x14ac:dyDescent="0.35">
      <c r="A487" s="14">
        <v>45103.71671296296</v>
      </c>
      <c r="B487" s="15" t="s">
        <v>12</v>
      </c>
      <c r="C487" s="15" t="s">
        <v>11</v>
      </c>
      <c r="D487" s="15" t="s">
        <v>17</v>
      </c>
      <c r="E487" s="15">
        <v>15</v>
      </c>
      <c r="F487" s="15">
        <v>33916</v>
      </c>
      <c r="G487" s="16">
        <f>'Data File'!$F487*'Data File'!$E487</f>
        <v>508740</v>
      </c>
    </row>
    <row r="488" spans="1:7" x14ac:dyDescent="0.35">
      <c r="A488" s="11">
        <v>45104.081076388888</v>
      </c>
      <c r="B488" s="12" t="s">
        <v>6</v>
      </c>
      <c r="C488" s="12" t="s">
        <v>11</v>
      </c>
      <c r="D488" s="12" t="s">
        <v>18</v>
      </c>
      <c r="E488" s="12">
        <v>5</v>
      </c>
      <c r="F488" s="12">
        <v>42158</v>
      </c>
      <c r="G488" s="13">
        <f>'Data File'!$F488*'Data File'!$E488</f>
        <v>210790</v>
      </c>
    </row>
    <row r="489" spans="1:7" x14ac:dyDescent="0.35">
      <c r="A489" s="14">
        <v>45104.445439814815</v>
      </c>
      <c r="B489" s="15" t="s">
        <v>7</v>
      </c>
      <c r="C489" s="15" t="s">
        <v>8</v>
      </c>
      <c r="D489" s="15" t="s">
        <v>16</v>
      </c>
      <c r="E489" s="15">
        <v>17</v>
      </c>
      <c r="F489" s="15">
        <v>66510</v>
      </c>
      <c r="G489" s="16">
        <f>'Data File'!$F489*'Data File'!$E489</f>
        <v>1130670</v>
      </c>
    </row>
    <row r="490" spans="1:7" x14ac:dyDescent="0.35">
      <c r="A490" s="11">
        <v>45104.809814814813</v>
      </c>
      <c r="B490" s="12" t="s">
        <v>13</v>
      </c>
      <c r="C490" s="12" t="s">
        <v>9</v>
      </c>
      <c r="D490" s="12" t="s">
        <v>19</v>
      </c>
      <c r="E490" s="12">
        <v>6</v>
      </c>
      <c r="F490" s="12">
        <v>63692</v>
      </c>
      <c r="G490" s="13">
        <f>'Data File'!$F490*'Data File'!$E490</f>
        <v>382152</v>
      </c>
    </row>
    <row r="491" spans="1:7" x14ac:dyDescent="0.35">
      <c r="A491" s="14">
        <v>45105.174178240741</v>
      </c>
      <c r="B491" s="15" t="s">
        <v>13</v>
      </c>
      <c r="C491" s="15" t="s">
        <v>21</v>
      </c>
      <c r="D491" s="15" t="s">
        <v>15</v>
      </c>
      <c r="E491" s="15">
        <v>11</v>
      </c>
      <c r="F491" s="15">
        <v>66744</v>
      </c>
      <c r="G491" s="16">
        <f>'Data File'!$F491*'Data File'!$E491</f>
        <v>734184</v>
      </c>
    </row>
    <row r="492" spans="1:7" x14ac:dyDescent="0.35">
      <c r="A492" s="11">
        <v>45105.538541666669</v>
      </c>
      <c r="B492" s="12" t="s">
        <v>7</v>
      </c>
      <c r="C492" s="12" t="s">
        <v>9</v>
      </c>
      <c r="D492" s="12" t="s">
        <v>17</v>
      </c>
      <c r="E492" s="12">
        <v>18</v>
      </c>
      <c r="F492" s="12">
        <v>20810</v>
      </c>
      <c r="G492" s="13">
        <f>'Data File'!$F492*'Data File'!$E492</f>
        <v>374580</v>
      </c>
    </row>
    <row r="493" spans="1:7" x14ac:dyDescent="0.35">
      <c r="A493" s="14">
        <v>45105.902905092589</v>
      </c>
      <c r="B493" s="15" t="s">
        <v>13</v>
      </c>
      <c r="C493" s="15" t="s">
        <v>21</v>
      </c>
      <c r="D493" s="15" t="s">
        <v>17</v>
      </c>
      <c r="E493" s="15">
        <v>4</v>
      </c>
      <c r="F493" s="15">
        <v>10126</v>
      </c>
      <c r="G493" s="16">
        <f>'Data File'!$F493*'Data File'!$E493</f>
        <v>40504</v>
      </c>
    </row>
    <row r="494" spans="1:7" x14ac:dyDescent="0.35">
      <c r="A494" s="11">
        <v>45106.267268518517</v>
      </c>
      <c r="B494" s="12" t="s">
        <v>13</v>
      </c>
      <c r="C494" s="12" t="s">
        <v>10</v>
      </c>
      <c r="D494" s="12" t="s">
        <v>19</v>
      </c>
      <c r="E494" s="12">
        <v>3</v>
      </c>
      <c r="F494" s="12">
        <v>35009</v>
      </c>
      <c r="G494" s="13">
        <f>'Data File'!$F494*'Data File'!$E494</f>
        <v>105027</v>
      </c>
    </row>
    <row r="495" spans="1:7" x14ac:dyDescent="0.35">
      <c r="A495" s="14">
        <v>45106.631631944445</v>
      </c>
      <c r="B495" s="15" t="s">
        <v>12</v>
      </c>
      <c r="C495" s="15" t="s">
        <v>9</v>
      </c>
      <c r="D495" s="15" t="s">
        <v>18</v>
      </c>
      <c r="E495" s="15">
        <v>13</v>
      </c>
      <c r="F495" s="15">
        <v>5192</v>
      </c>
      <c r="G495" s="16">
        <f>'Data File'!$F495*'Data File'!$E495</f>
        <v>67496</v>
      </c>
    </row>
    <row r="496" spans="1:7" x14ac:dyDescent="0.35">
      <c r="A496" s="11">
        <v>45106.995995370373</v>
      </c>
      <c r="B496" s="12" t="s">
        <v>13</v>
      </c>
      <c r="C496" s="12" t="s">
        <v>10</v>
      </c>
      <c r="D496" s="12" t="s">
        <v>19</v>
      </c>
      <c r="E496" s="12">
        <v>9</v>
      </c>
      <c r="F496" s="12">
        <v>41413</v>
      </c>
      <c r="G496" s="13">
        <f>'Data File'!$F496*'Data File'!$E496</f>
        <v>372717</v>
      </c>
    </row>
    <row r="497" spans="1:7" x14ac:dyDescent="0.35">
      <c r="A497" s="14">
        <v>45107.360358796293</v>
      </c>
      <c r="B497" s="15" t="s">
        <v>6</v>
      </c>
      <c r="C497" s="15" t="s">
        <v>11</v>
      </c>
      <c r="D497" s="15" t="s">
        <v>17</v>
      </c>
      <c r="E497" s="15">
        <v>6</v>
      </c>
      <c r="F497" s="15">
        <v>17816</v>
      </c>
      <c r="G497" s="16">
        <f>'Data File'!$F497*'Data File'!$E497</f>
        <v>106896</v>
      </c>
    </row>
    <row r="498" spans="1:7" x14ac:dyDescent="0.35">
      <c r="A498" s="11">
        <v>45107.724722222221</v>
      </c>
      <c r="B498" s="12" t="s">
        <v>6</v>
      </c>
      <c r="C498" s="12" t="s">
        <v>11</v>
      </c>
      <c r="D498" s="12" t="s">
        <v>14</v>
      </c>
      <c r="E498" s="12">
        <v>12</v>
      </c>
      <c r="F498" s="12">
        <v>44082</v>
      </c>
      <c r="G498" s="13">
        <f>'Data File'!$F498*'Data File'!$E498</f>
        <v>528984</v>
      </c>
    </row>
    <row r="499" spans="1:7" x14ac:dyDescent="0.35">
      <c r="A499" s="14">
        <v>45108.089085648149</v>
      </c>
      <c r="B499" s="15" t="s">
        <v>7</v>
      </c>
      <c r="C499" s="15" t="s">
        <v>8</v>
      </c>
      <c r="D499" s="15" t="s">
        <v>15</v>
      </c>
      <c r="E499" s="15">
        <v>2</v>
      </c>
      <c r="F499" s="15">
        <v>70048</v>
      </c>
      <c r="G499" s="16">
        <f>'Data File'!$F499*'Data File'!$E499</f>
        <v>140096</v>
      </c>
    </row>
    <row r="500" spans="1:7" x14ac:dyDescent="0.35">
      <c r="A500" s="11">
        <v>45108.453449074077</v>
      </c>
      <c r="B500" s="12" t="s">
        <v>13</v>
      </c>
      <c r="C500" s="12" t="s">
        <v>9</v>
      </c>
      <c r="D500" s="12" t="s">
        <v>19</v>
      </c>
      <c r="E500" s="12">
        <v>3</v>
      </c>
      <c r="F500" s="12">
        <v>55940</v>
      </c>
      <c r="G500" s="13">
        <f>'Data File'!$F500*'Data File'!$E500</f>
        <v>167820</v>
      </c>
    </row>
    <row r="501" spans="1:7" x14ac:dyDescent="0.35">
      <c r="A501" s="14">
        <v>45108.817812499998</v>
      </c>
      <c r="B501" s="15" t="s">
        <v>7</v>
      </c>
      <c r="C501" s="15" t="s">
        <v>10</v>
      </c>
      <c r="D501" s="15" t="s">
        <v>17</v>
      </c>
      <c r="E501" s="15">
        <v>3</v>
      </c>
      <c r="F501" s="15">
        <v>37130</v>
      </c>
      <c r="G501" s="16">
        <f>'Data File'!$F501*'Data File'!$E501</f>
        <v>111390</v>
      </c>
    </row>
    <row r="502" spans="1:7" x14ac:dyDescent="0.35">
      <c r="A502" s="11">
        <v>45109.182187500002</v>
      </c>
      <c r="B502" s="12" t="s">
        <v>6</v>
      </c>
      <c r="C502" s="12" t="s">
        <v>21</v>
      </c>
      <c r="D502" s="12" t="s">
        <v>18</v>
      </c>
      <c r="E502" s="12">
        <v>12</v>
      </c>
      <c r="F502" s="12">
        <v>45142</v>
      </c>
      <c r="G502" s="13">
        <f>'Data File'!$F502*'Data File'!$E502</f>
        <v>541704</v>
      </c>
    </row>
    <row r="503" spans="1:7" x14ac:dyDescent="0.35">
      <c r="A503" s="14">
        <v>45109.546550925923</v>
      </c>
      <c r="B503" s="15" t="s">
        <v>13</v>
      </c>
      <c r="C503" s="15" t="s">
        <v>11</v>
      </c>
      <c r="D503" s="15" t="s">
        <v>17</v>
      </c>
      <c r="E503" s="15">
        <v>15</v>
      </c>
      <c r="F503" s="15">
        <v>41468</v>
      </c>
      <c r="G503" s="16">
        <f>'Data File'!$F503*'Data File'!$E503</f>
        <v>622020</v>
      </c>
    </row>
    <row r="504" spans="1:7" x14ac:dyDescent="0.35">
      <c r="A504" s="11">
        <v>45109.910914351851</v>
      </c>
      <c r="B504" s="12" t="s">
        <v>13</v>
      </c>
      <c r="C504" s="12" t="s">
        <v>11</v>
      </c>
      <c r="D504" s="12" t="s">
        <v>18</v>
      </c>
      <c r="E504" s="12">
        <v>9</v>
      </c>
      <c r="F504" s="12">
        <v>35698</v>
      </c>
      <c r="G504" s="13">
        <f>'Data File'!$F504*'Data File'!$E504</f>
        <v>321282</v>
      </c>
    </row>
    <row r="505" spans="1:7" x14ac:dyDescent="0.35">
      <c r="A505" s="14">
        <v>45110.275277777779</v>
      </c>
      <c r="B505" s="15" t="s">
        <v>7</v>
      </c>
      <c r="C505" s="15" t="s">
        <v>21</v>
      </c>
      <c r="D505" s="15" t="s">
        <v>19</v>
      </c>
      <c r="E505" s="15">
        <v>8</v>
      </c>
      <c r="F505" s="15">
        <v>15655</v>
      </c>
      <c r="G505" s="16">
        <f>'Data File'!$F505*'Data File'!$E505</f>
        <v>125240</v>
      </c>
    </row>
    <row r="506" spans="1:7" x14ac:dyDescent="0.35">
      <c r="A506" s="11">
        <v>45110.639641203707</v>
      </c>
      <c r="B506" s="12" t="s">
        <v>6</v>
      </c>
      <c r="C506" s="12" t="s">
        <v>10</v>
      </c>
      <c r="D506" s="12" t="s">
        <v>18</v>
      </c>
      <c r="E506" s="12">
        <v>11</v>
      </c>
      <c r="F506" s="12">
        <v>52897</v>
      </c>
      <c r="G506" s="13">
        <f>'Data File'!$F506*'Data File'!$E506</f>
        <v>581867</v>
      </c>
    </row>
    <row r="507" spans="1:7" x14ac:dyDescent="0.35">
      <c r="A507" s="14">
        <v>45111.004004629627</v>
      </c>
      <c r="B507" s="15" t="s">
        <v>13</v>
      </c>
      <c r="C507" s="15" t="s">
        <v>10</v>
      </c>
      <c r="D507" s="15" t="s">
        <v>16</v>
      </c>
      <c r="E507" s="15">
        <v>16</v>
      </c>
      <c r="F507" s="15">
        <v>35075</v>
      </c>
      <c r="G507" s="16">
        <f>'Data File'!$F507*'Data File'!$E507</f>
        <v>561200</v>
      </c>
    </row>
    <row r="508" spans="1:7" x14ac:dyDescent="0.35">
      <c r="A508" s="11">
        <v>45111.368368055555</v>
      </c>
      <c r="B508" s="12" t="s">
        <v>7</v>
      </c>
      <c r="C508" s="12" t="s">
        <v>9</v>
      </c>
      <c r="D508" s="12" t="s">
        <v>16</v>
      </c>
      <c r="E508" s="12">
        <v>4</v>
      </c>
      <c r="F508" s="12">
        <v>14359</v>
      </c>
      <c r="G508" s="13">
        <f>'Data File'!$F508*'Data File'!$E508</f>
        <v>57436</v>
      </c>
    </row>
    <row r="509" spans="1:7" x14ac:dyDescent="0.35">
      <c r="A509" s="14">
        <v>45111.732731481483</v>
      </c>
      <c r="B509" s="15" t="s">
        <v>6</v>
      </c>
      <c r="C509" s="15" t="s">
        <v>9</v>
      </c>
      <c r="D509" s="15" t="s">
        <v>16</v>
      </c>
      <c r="E509" s="15">
        <v>1</v>
      </c>
      <c r="F509" s="15">
        <v>47056</v>
      </c>
      <c r="G509" s="16">
        <f>'Data File'!$F509*'Data File'!$E509</f>
        <v>47056</v>
      </c>
    </row>
    <row r="510" spans="1:7" x14ac:dyDescent="0.35">
      <c r="A510" s="11">
        <v>45112.097094907411</v>
      </c>
      <c r="B510" s="12" t="s">
        <v>7</v>
      </c>
      <c r="C510" s="12" t="s">
        <v>8</v>
      </c>
      <c r="D510" s="12" t="s">
        <v>14</v>
      </c>
      <c r="E510" s="12">
        <v>7</v>
      </c>
      <c r="F510" s="12">
        <v>56831</v>
      </c>
      <c r="G510" s="13">
        <f>'Data File'!$F510*'Data File'!$E510</f>
        <v>397817</v>
      </c>
    </row>
    <row r="511" spans="1:7" x14ac:dyDescent="0.35">
      <c r="A511" s="14">
        <v>45112.461458333331</v>
      </c>
      <c r="B511" s="15" t="s">
        <v>12</v>
      </c>
      <c r="C511" s="15" t="s">
        <v>11</v>
      </c>
      <c r="D511" s="15" t="s">
        <v>19</v>
      </c>
      <c r="E511" s="15">
        <v>2</v>
      </c>
      <c r="F511" s="15">
        <v>64191</v>
      </c>
      <c r="G511" s="16">
        <f>'Data File'!$F511*'Data File'!$E511</f>
        <v>128382</v>
      </c>
    </row>
    <row r="512" spans="1:7" x14ac:dyDescent="0.35">
      <c r="A512" s="11">
        <v>45112.825821759259</v>
      </c>
      <c r="B512" s="12" t="s">
        <v>13</v>
      </c>
      <c r="C512" s="12" t="s">
        <v>9</v>
      </c>
      <c r="D512" s="12" t="s">
        <v>17</v>
      </c>
      <c r="E512" s="12">
        <v>5</v>
      </c>
      <c r="F512" s="12">
        <v>38272</v>
      </c>
      <c r="G512" s="13">
        <f>'Data File'!$F512*'Data File'!$E512</f>
        <v>191360</v>
      </c>
    </row>
    <row r="513" spans="1:7" x14ac:dyDescent="0.35">
      <c r="A513" s="14">
        <v>45113.190185185187</v>
      </c>
      <c r="B513" s="15" t="s">
        <v>12</v>
      </c>
      <c r="C513" s="15" t="s">
        <v>10</v>
      </c>
      <c r="D513" s="15" t="s">
        <v>17</v>
      </c>
      <c r="E513" s="15">
        <v>7</v>
      </c>
      <c r="F513" s="15">
        <v>19671</v>
      </c>
      <c r="G513" s="16">
        <f>'Data File'!$F513*'Data File'!$E513</f>
        <v>137697</v>
      </c>
    </row>
    <row r="514" spans="1:7" x14ac:dyDescent="0.35">
      <c r="A514" s="11">
        <v>45113.554560185185</v>
      </c>
      <c r="B514" s="12" t="s">
        <v>6</v>
      </c>
      <c r="C514" s="12" t="s">
        <v>21</v>
      </c>
      <c r="D514" s="12" t="s">
        <v>14</v>
      </c>
      <c r="E514" s="12">
        <v>4</v>
      </c>
      <c r="F514" s="12">
        <v>32048</v>
      </c>
      <c r="G514" s="13">
        <f>'Data File'!$F514*'Data File'!$E514</f>
        <v>128192</v>
      </c>
    </row>
    <row r="515" spans="1:7" x14ac:dyDescent="0.35">
      <c r="A515" s="14">
        <v>45113.918923611112</v>
      </c>
      <c r="B515" s="15" t="s">
        <v>12</v>
      </c>
      <c r="C515" s="15" t="s">
        <v>10</v>
      </c>
      <c r="D515" s="15" t="s">
        <v>18</v>
      </c>
      <c r="E515" s="15">
        <v>5</v>
      </c>
      <c r="F515" s="15">
        <v>30963</v>
      </c>
      <c r="G515" s="16">
        <f>'Data File'!$F515*'Data File'!$E515</f>
        <v>154815</v>
      </c>
    </row>
    <row r="516" spans="1:7" x14ac:dyDescent="0.35">
      <c r="A516" s="11">
        <v>45114.28328703704</v>
      </c>
      <c r="B516" s="12" t="s">
        <v>12</v>
      </c>
      <c r="C516" s="12" t="s">
        <v>11</v>
      </c>
      <c r="D516" s="12" t="s">
        <v>14</v>
      </c>
      <c r="E516" s="12">
        <v>1</v>
      </c>
      <c r="F516" s="12">
        <v>48954</v>
      </c>
      <c r="G516" s="13">
        <f>'Data File'!$F516*'Data File'!$E516</f>
        <v>48954</v>
      </c>
    </row>
    <row r="517" spans="1:7" x14ac:dyDescent="0.35">
      <c r="A517" s="14">
        <v>45114.647650462961</v>
      </c>
      <c r="B517" s="15" t="s">
        <v>6</v>
      </c>
      <c r="C517" s="15" t="s">
        <v>10</v>
      </c>
      <c r="D517" s="15" t="s">
        <v>18</v>
      </c>
      <c r="E517" s="15">
        <v>1</v>
      </c>
      <c r="F517" s="15">
        <v>5717</v>
      </c>
      <c r="G517" s="16">
        <f>'Data File'!$F517*'Data File'!$E517</f>
        <v>5717</v>
      </c>
    </row>
    <row r="518" spans="1:7" x14ac:dyDescent="0.35">
      <c r="A518" s="11">
        <v>45115.012013888889</v>
      </c>
      <c r="B518" s="12" t="s">
        <v>7</v>
      </c>
      <c r="C518" s="12" t="s">
        <v>8</v>
      </c>
      <c r="D518" s="12" t="s">
        <v>18</v>
      </c>
      <c r="E518" s="12">
        <v>15</v>
      </c>
      <c r="F518" s="12">
        <v>16676</v>
      </c>
      <c r="G518" s="13">
        <f>'Data File'!$F518*'Data File'!$E518</f>
        <v>250140</v>
      </c>
    </row>
    <row r="519" spans="1:7" x14ac:dyDescent="0.35">
      <c r="A519" s="14">
        <v>45115.376377314817</v>
      </c>
      <c r="B519" s="15" t="s">
        <v>12</v>
      </c>
      <c r="C519" s="15" t="s">
        <v>11</v>
      </c>
      <c r="D519" s="15" t="s">
        <v>15</v>
      </c>
      <c r="E519" s="15">
        <v>19</v>
      </c>
      <c r="F519" s="15">
        <v>9434</v>
      </c>
      <c r="G519" s="16">
        <f>'Data File'!$F519*'Data File'!$E519</f>
        <v>179246</v>
      </c>
    </row>
    <row r="520" spans="1:7" x14ac:dyDescent="0.35">
      <c r="A520" s="11">
        <v>45115.740740740737</v>
      </c>
      <c r="B520" s="12" t="s">
        <v>7</v>
      </c>
      <c r="C520" s="12" t="s">
        <v>21</v>
      </c>
      <c r="D520" s="12" t="s">
        <v>17</v>
      </c>
      <c r="E520" s="12">
        <v>10</v>
      </c>
      <c r="F520" s="12">
        <v>54810</v>
      </c>
      <c r="G520" s="13">
        <f>'Data File'!$F520*'Data File'!$E520</f>
        <v>548100</v>
      </c>
    </row>
    <row r="521" spans="1:7" x14ac:dyDescent="0.35">
      <c r="A521" s="14">
        <v>45116.105104166665</v>
      </c>
      <c r="B521" s="15" t="s">
        <v>12</v>
      </c>
      <c r="C521" s="15" t="s">
        <v>8</v>
      </c>
      <c r="D521" s="15" t="s">
        <v>16</v>
      </c>
      <c r="E521" s="15">
        <v>18</v>
      </c>
      <c r="F521" s="15">
        <v>9994</v>
      </c>
      <c r="G521" s="16">
        <f>'Data File'!$F521*'Data File'!$E521</f>
        <v>179892</v>
      </c>
    </row>
    <row r="522" spans="1:7" x14ac:dyDescent="0.35">
      <c r="A522" s="11">
        <v>45116.469467592593</v>
      </c>
      <c r="B522" s="12" t="s">
        <v>7</v>
      </c>
      <c r="C522" s="12" t="s">
        <v>11</v>
      </c>
      <c r="D522" s="12" t="s">
        <v>18</v>
      </c>
      <c r="E522" s="12">
        <v>3</v>
      </c>
      <c r="F522" s="12">
        <v>9234</v>
      </c>
      <c r="G522" s="13">
        <f>'Data File'!$F522*'Data File'!$E522</f>
        <v>27702</v>
      </c>
    </row>
    <row r="523" spans="1:7" x14ac:dyDescent="0.35">
      <c r="A523" s="14">
        <v>45116.833831018521</v>
      </c>
      <c r="B523" s="15" t="s">
        <v>6</v>
      </c>
      <c r="C523" s="15" t="s">
        <v>21</v>
      </c>
      <c r="D523" s="15" t="s">
        <v>15</v>
      </c>
      <c r="E523" s="15">
        <v>11</v>
      </c>
      <c r="F523" s="15">
        <v>74300</v>
      </c>
      <c r="G523" s="16">
        <f>'Data File'!$F523*'Data File'!$E523</f>
        <v>817300</v>
      </c>
    </row>
    <row r="524" spans="1:7" x14ac:dyDescent="0.35">
      <c r="A524" s="11">
        <v>45117.198194444441</v>
      </c>
      <c r="B524" s="12" t="s">
        <v>12</v>
      </c>
      <c r="C524" s="12" t="s">
        <v>8</v>
      </c>
      <c r="D524" s="12" t="s">
        <v>17</v>
      </c>
      <c r="E524" s="12">
        <v>15</v>
      </c>
      <c r="F524" s="12">
        <v>48949</v>
      </c>
      <c r="G524" s="13">
        <f>'Data File'!$F524*'Data File'!$E524</f>
        <v>734235</v>
      </c>
    </row>
    <row r="525" spans="1:7" x14ac:dyDescent="0.35">
      <c r="A525" s="14">
        <v>45117.562557870369</v>
      </c>
      <c r="B525" s="15" t="s">
        <v>6</v>
      </c>
      <c r="C525" s="15" t="s">
        <v>8</v>
      </c>
      <c r="D525" s="15" t="s">
        <v>16</v>
      </c>
      <c r="E525" s="15">
        <v>11</v>
      </c>
      <c r="F525" s="15">
        <v>42405</v>
      </c>
      <c r="G525" s="16">
        <f>'Data File'!$F525*'Data File'!$E525</f>
        <v>466455</v>
      </c>
    </row>
    <row r="526" spans="1:7" x14ac:dyDescent="0.35">
      <c r="A526" s="11">
        <v>45117.926921296297</v>
      </c>
      <c r="B526" s="12" t="s">
        <v>12</v>
      </c>
      <c r="C526" s="12" t="s">
        <v>11</v>
      </c>
      <c r="D526" s="12" t="s">
        <v>18</v>
      </c>
      <c r="E526" s="12">
        <v>17</v>
      </c>
      <c r="F526" s="12">
        <v>39872</v>
      </c>
      <c r="G526" s="13">
        <f>'Data File'!$F526*'Data File'!$E526</f>
        <v>677824</v>
      </c>
    </row>
    <row r="527" spans="1:7" x14ac:dyDescent="0.35">
      <c r="A527" s="14">
        <v>45118.291296296295</v>
      </c>
      <c r="B527" s="15" t="s">
        <v>6</v>
      </c>
      <c r="C527" s="15" t="s">
        <v>9</v>
      </c>
      <c r="D527" s="15" t="s">
        <v>18</v>
      </c>
      <c r="E527" s="15">
        <v>17</v>
      </c>
      <c r="F527" s="15">
        <v>47215</v>
      </c>
      <c r="G527" s="16">
        <f>'Data File'!$F527*'Data File'!$E527</f>
        <v>802655</v>
      </c>
    </row>
    <row r="528" spans="1:7" x14ac:dyDescent="0.35">
      <c r="A528" s="11">
        <v>45118.655659722222</v>
      </c>
      <c r="B528" s="12" t="s">
        <v>6</v>
      </c>
      <c r="C528" s="12" t="s">
        <v>8</v>
      </c>
      <c r="D528" s="12" t="s">
        <v>14</v>
      </c>
      <c r="E528" s="12">
        <v>6</v>
      </c>
      <c r="F528" s="12">
        <v>28185</v>
      </c>
      <c r="G528" s="13">
        <f>'Data File'!$F528*'Data File'!$E528</f>
        <v>169110</v>
      </c>
    </row>
    <row r="529" spans="1:7" x14ac:dyDescent="0.35">
      <c r="A529" s="14">
        <v>45119.02002314815</v>
      </c>
      <c r="B529" s="15" t="s">
        <v>12</v>
      </c>
      <c r="C529" s="15" t="s">
        <v>8</v>
      </c>
      <c r="D529" s="15" t="s">
        <v>14</v>
      </c>
      <c r="E529" s="15">
        <v>5</v>
      </c>
      <c r="F529" s="15">
        <v>48442</v>
      </c>
      <c r="G529" s="16">
        <f>'Data File'!$F529*'Data File'!$E529</f>
        <v>242210</v>
      </c>
    </row>
    <row r="530" spans="1:7" x14ac:dyDescent="0.35">
      <c r="A530" s="11">
        <v>45119.384386574071</v>
      </c>
      <c r="B530" s="12" t="s">
        <v>12</v>
      </c>
      <c r="C530" s="12" t="s">
        <v>21</v>
      </c>
      <c r="D530" s="12" t="s">
        <v>17</v>
      </c>
      <c r="E530" s="12">
        <v>8</v>
      </c>
      <c r="F530" s="12">
        <v>56759</v>
      </c>
      <c r="G530" s="13">
        <f>'Data File'!$F530*'Data File'!$E530</f>
        <v>454072</v>
      </c>
    </row>
    <row r="531" spans="1:7" x14ac:dyDescent="0.35">
      <c r="A531" s="14">
        <v>45119.748749999999</v>
      </c>
      <c r="B531" s="15" t="s">
        <v>12</v>
      </c>
      <c r="C531" s="15" t="s">
        <v>10</v>
      </c>
      <c r="D531" s="15" t="s">
        <v>16</v>
      </c>
      <c r="E531" s="15">
        <v>2</v>
      </c>
      <c r="F531" s="15">
        <v>46153</v>
      </c>
      <c r="G531" s="16">
        <f>'Data File'!$F531*'Data File'!$E531</f>
        <v>92306</v>
      </c>
    </row>
    <row r="532" spans="1:7" x14ac:dyDescent="0.35">
      <c r="A532" s="11">
        <v>45120.113113425927</v>
      </c>
      <c r="B532" s="12" t="s">
        <v>13</v>
      </c>
      <c r="C532" s="12" t="s">
        <v>11</v>
      </c>
      <c r="D532" s="12" t="s">
        <v>18</v>
      </c>
      <c r="E532" s="12">
        <v>16</v>
      </c>
      <c r="F532" s="12">
        <v>7581</v>
      </c>
      <c r="G532" s="13">
        <f>'Data File'!$F532*'Data File'!$E532</f>
        <v>121296</v>
      </c>
    </row>
    <row r="533" spans="1:7" x14ac:dyDescent="0.35">
      <c r="A533" s="14">
        <v>45120.477476851855</v>
      </c>
      <c r="B533" s="15" t="s">
        <v>7</v>
      </c>
      <c r="C533" s="15" t="s">
        <v>11</v>
      </c>
      <c r="D533" s="15" t="s">
        <v>17</v>
      </c>
      <c r="E533" s="15">
        <v>12</v>
      </c>
      <c r="F533" s="15">
        <v>56717</v>
      </c>
      <c r="G533" s="16">
        <f>'Data File'!$F533*'Data File'!$E533</f>
        <v>680604</v>
      </c>
    </row>
    <row r="534" spans="1:7" x14ac:dyDescent="0.35">
      <c r="A534" s="11">
        <v>45120.841840277775</v>
      </c>
      <c r="B534" s="12" t="s">
        <v>13</v>
      </c>
      <c r="C534" s="12" t="s">
        <v>9</v>
      </c>
      <c r="D534" s="12" t="s">
        <v>17</v>
      </c>
      <c r="E534" s="12">
        <v>6</v>
      </c>
      <c r="F534" s="12">
        <v>7763</v>
      </c>
      <c r="G534" s="13">
        <f>'Data File'!$F534*'Data File'!$E534</f>
        <v>46578</v>
      </c>
    </row>
    <row r="535" spans="1:7" x14ac:dyDescent="0.35">
      <c r="A535" s="14">
        <v>45121.206203703703</v>
      </c>
      <c r="B535" s="15" t="s">
        <v>13</v>
      </c>
      <c r="C535" s="15" t="s">
        <v>9</v>
      </c>
      <c r="D535" s="15" t="s">
        <v>19</v>
      </c>
      <c r="E535" s="15">
        <v>1</v>
      </c>
      <c r="F535" s="15">
        <v>60480</v>
      </c>
      <c r="G535" s="16">
        <f>'Data File'!$F535*'Data File'!$E535</f>
        <v>60480</v>
      </c>
    </row>
    <row r="536" spans="1:7" x14ac:dyDescent="0.35">
      <c r="A536" s="11">
        <v>45121.570567129631</v>
      </c>
      <c r="B536" s="12" t="s">
        <v>6</v>
      </c>
      <c r="C536" s="12" t="s">
        <v>11</v>
      </c>
      <c r="D536" s="12" t="s">
        <v>14</v>
      </c>
      <c r="E536" s="12">
        <v>4</v>
      </c>
      <c r="F536" s="12">
        <v>43759</v>
      </c>
      <c r="G536" s="13">
        <f>'Data File'!$F536*'Data File'!$E536</f>
        <v>175036</v>
      </c>
    </row>
    <row r="537" spans="1:7" x14ac:dyDescent="0.35">
      <c r="A537" s="14">
        <v>45121.934930555559</v>
      </c>
      <c r="B537" s="15" t="s">
        <v>12</v>
      </c>
      <c r="C537" s="15" t="s">
        <v>9</v>
      </c>
      <c r="D537" s="15" t="s">
        <v>16</v>
      </c>
      <c r="E537" s="15">
        <v>17</v>
      </c>
      <c r="F537" s="15">
        <v>30307</v>
      </c>
      <c r="G537" s="16">
        <f>'Data File'!$F537*'Data File'!$E537</f>
        <v>515219</v>
      </c>
    </row>
    <row r="538" spans="1:7" x14ac:dyDescent="0.35">
      <c r="A538" s="11">
        <v>45122.299293981479</v>
      </c>
      <c r="B538" s="12" t="s">
        <v>7</v>
      </c>
      <c r="C538" s="12" t="s">
        <v>21</v>
      </c>
      <c r="D538" s="12" t="s">
        <v>18</v>
      </c>
      <c r="E538" s="12">
        <v>13</v>
      </c>
      <c r="F538" s="12">
        <v>16064</v>
      </c>
      <c r="G538" s="13">
        <f>'Data File'!$F538*'Data File'!$E538</f>
        <v>208832</v>
      </c>
    </row>
    <row r="539" spans="1:7" x14ac:dyDescent="0.35">
      <c r="A539" s="14">
        <v>45122.663668981484</v>
      </c>
      <c r="B539" s="15" t="s">
        <v>6</v>
      </c>
      <c r="C539" s="15" t="s">
        <v>11</v>
      </c>
      <c r="D539" s="15" t="s">
        <v>17</v>
      </c>
      <c r="E539" s="15">
        <v>18</v>
      </c>
      <c r="F539" s="15">
        <v>42548</v>
      </c>
      <c r="G539" s="16">
        <f>'Data File'!$F539*'Data File'!$E539</f>
        <v>765864</v>
      </c>
    </row>
    <row r="540" spans="1:7" x14ac:dyDescent="0.35">
      <c r="A540" s="11">
        <v>45123.028032407405</v>
      </c>
      <c r="B540" s="12" t="s">
        <v>13</v>
      </c>
      <c r="C540" s="12" t="s">
        <v>9</v>
      </c>
      <c r="D540" s="12" t="s">
        <v>18</v>
      </c>
      <c r="E540" s="12">
        <v>5</v>
      </c>
      <c r="F540" s="12">
        <v>41945</v>
      </c>
      <c r="G540" s="13">
        <f>'Data File'!$F540*'Data File'!$E540</f>
        <v>209725</v>
      </c>
    </row>
    <row r="541" spans="1:7" x14ac:dyDescent="0.35">
      <c r="A541" s="14">
        <v>45123.392395833333</v>
      </c>
      <c r="B541" s="15" t="s">
        <v>12</v>
      </c>
      <c r="C541" s="15" t="s">
        <v>11</v>
      </c>
      <c r="D541" s="15" t="s">
        <v>19</v>
      </c>
      <c r="E541" s="15">
        <v>3</v>
      </c>
      <c r="F541" s="15">
        <v>52937</v>
      </c>
      <c r="G541" s="16">
        <f>'Data File'!$F541*'Data File'!$E541</f>
        <v>158811</v>
      </c>
    </row>
    <row r="542" spans="1:7" x14ac:dyDescent="0.35">
      <c r="A542" s="11">
        <v>45123.75675925926</v>
      </c>
      <c r="B542" s="12" t="s">
        <v>6</v>
      </c>
      <c r="C542" s="12" t="s">
        <v>10</v>
      </c>
      <c r="D542" s="12" t="s">
        <v>16</v>
      </c>
      <c r="E542" s="12">
        <v>11</v>
      </c>
      <c r="F542" s="12">
        <v>11476</v>
      </c>
      <c r="G542" s="13">
        <f>'Data File'!$F542*'Data File'!$E542</f>
        <v>126236</v>
      </c>
    </row>
    <row r="543" spans="1:7" x14ac:dyDescent="0.35">
      <c r="A543" s="14">
        <v>45124.121122685188</v>
      </c>
      <c r="B543" s="15" t="s">
        <v>12</v>
      </c>
      <c r="C543" s="15" t="s">
        <v>8</v>
      </c>
      <c r="D543" s="15" t="s">
        <v>17</v>
      </c>
      <c r="E543" s="15">
        <v>13</v>
      </c>
      <c r="F543" s="15">
        <v>56756</v>
      </c>
      <c r="G543" s="16">
        <f>'Data File'!$F543*'Data File'!$E543</f>
        <v>737828</v>
      </c>
    </row>
    <row r="544" spans="1:7" x14ac:dyDescent="0.35">
      <c r="A544" s="11">
        <v>45124.485486111109</v>
      </c>
      <c r="B544" s="12" t="s">
        <v>6</v>
      </c>
      <c r="C544" s="12" t="s">
        <v>11</v>
      </c>
      <c r="D544" s="12" t="s">
        <v>18</v>
      </c>
      <c r="E544" s="12">
        <v>4</v>
      </c>
      <c r="F544" s="12">
        <v>7382</v>
      </c>
      <c r="G544" s="13">
        <f>'Data File'!$F544*'Data File'!$E544</f>
        <v>29528</v>
      </c>
    </row>
    <row r="545" spans="1:7" x14ac:dyDescent="0.35">
      <c r="A545" s="14">
        <v>45124.849849537037</v>
      </c>
      <c r="B545" s="15" t="s">
        <v>12</v>
      </c>
      <c r="C545" s="15" t="s">
        <v>8</v>
      </c>
      <c r="D545" s="15" t="s">
        <v>14</v>
      </c>
      <c r="E545" s="15">
        <v>14</v>
      </c>
      <c r="F545" s="15">
        <v>54683</v>
      </c>
      <c r="G545" s="16">
        <f>'Data File'!$F545*'Data File'!$E545</f>
        <v>765562</v>
      </c>
    </row>
    <row r="546" spans="1:7" x14ac:dyDescent="0.35">
      <c r="A546" s="11">
        <v>45125.214212962965</v>
      </c>
      <c r="B546" s="12" t="s">
        <v>13</v>
      </c>
      <c r="C546" s="12" t="s">
        <v>9</v>
      </c>
      <c r="D546" s="12" t="s">
        <v>19</v>
      </c>
      <c r="E546" s="12">
        <v>11</v>
      </c>
      <c r="F546" s="12">
        <v>50276</v>
      </c>
      <c r="G546" s="13">
        <f>'Data File'!$F546*'Data File'!$E546</f>
        <v>553036</v>
      </c>
    </row>
    <row r="547" spans="1:7" x14ac:dyDescent="0.35">
      <c r="A547" s="14">
        <v>45125.578576388885</v>
      </c>
      <c r="B547" s="15" t="s">
        <v>7</v>
      </c>
      <c r="C547" s="15" t="s">
        <v>8</v>
      </c>
      <c r="D547" s="15" t="s">
        <v>16</v>
      </c>
      <c r="E547" s="15">
        <v>10</v>
      </c>
      <c r="F547" s="15">
        <v>38402</v>
      </c>
      <c r="G547" s="16">
        <f>'Data File'!$F547*'Data File'!$E547</f>
        <v>384020</v>
      </c>
    </row>
    <row r="548" spans="1:7" x14ac:dyDescent="0.35">
      <c r="A548" s="11">
        <v>45125.942939814813</v>
      </c>
      <c r="B548" s="12" t="s">
        <v>13</v>
      </c>
      <c r="C548" s="12" t="s">
        <v>11</v>
      </c>
      <c r="D548" s="12" t="s">
        <v>19</v>
      </c>
      <c r="E548" s="12">
        <v>19</v>
      </c>
      <c r="F548" s="12">
        <v>31946</v>
      </c>
      <c r="G548" s="13">
        <f>'Data File'!$F548*'Data File'!$E548</f>
        <v>606974</v>
      </c>
    </row>
    <row r="549" spans="1:7" x14ac:dyDescent="0.35">
      <c r="A549" s="14">
        <v>45126.307303240741</v>
      </c>
      <c r="B549" s="15" t="s">
        <v>7</v>
      </c>
      <c r="C549" s="15" t="s">
        <v>10</v>
      </c>
      <c r="D549" s="15" t="s">
        <v>14</v>
      </c>
      <c r="E549" s="15">
        <v>18</v>
      </c>
      <c r="F549" s="15">
        <v>27335</v>
      </c>
      <c r="G549" s="16">
        <f>'Data File'!$F549*'Data File'!$E549</f>
        <v>492030</v>
      </c>
    </row>
    <row r="550" spans="1:7" x14ac:dyDescent="0.35">
      <c r="A550" s="11">
        <v>45126.671666666669</v>
      </c>
      <c r="B550" s="12" t="s">
        <v>12</v>
      </c>
      <c r="C550" s="12" t="s">
        <v>9</v>
      </c>
      <c r="D550" s="12" t="s">
        <v>16</v>
      </c>
      <c r="E550" s="12">
        <v>6</v>
      </c>
      <c r="F550" s="12">
        <v>50095</v>
      </c>
      <c r="G550" s="13">
        <f>'Data File'!$F550*'Data File'!$E550</f>
        <v>300570</v>
      </c>
    </row>
    <row r="551" spans="1:7" x14ac:dyDescent="0.35">
      <c r="A551" s="14">
        <v>45127.036041666666</v>
      </c>
      <c r="B551" s="15" t="s">
        <v>6</v>
      </c>
      <c r="C551" s="15" t="s">
        <v>11</v>
      </c>
      <c r="D551" s="15" t="s">
        <v>19</v>
      </c>
      <c r="E551" s="15">
        <v>15</v>
      </c>
      <c r="F551" s="15">
        <v>32197</v>
      </c>
      <c r="G551" s="16">
        <f>'Data File'!$F551*'Data File'!$E551</f>
        <v>482955</v>
      </c>
    </row>
    <row r="552" spans="1:7" x14ac:dyDescent="0.35">
      <c r="A552" s="11">
        <v>45127.400405092594</v>
      </c>
      <c r="B552" s="12" t="s">
        <v>13</v>
      </c>
      <c r="C552" s="12" t="s">
        <v>9</v>
      </c>
      <c r="D552" s="12" t="s">
        <v>15</v>
      </c>
      <c r="E552" s="12">
        <v>10</v>
      </c>
      <c r="F552" s="12">
        <v>27010</v>
      </c>
      <c r="G552" s="13">
        <f>'Data File'!$F552*'Data File'!$E552</f>
        <v>270100</v>
      </c>
    </row>
    <row r="553" spans="1:7" x14ac:dyDescent="0.35">
      <c r="A553" s="14">
        <v>45127.764768518522</v>
      </c>
      <c r="B553" s="15" t="s">
        <v>7</v>
      </c>
      <c r="C553" s="15" t="s">
        <v>21</v>
      </c>
      <c r="D553" s="15" t="s">
        <v>14</v>
      </c>
      <c r="E553" s="15">
        <v>5</v>
      </c>
      <c r="F553" s="15">
        <v>29123</v>
      </c>
      <c r="G553" s="16">
        <f>'Data File'!$F553*'Data File'!$E553</f>
        <v>145615</v>
      </c>
    </row>
    <row r="554" spans="1:7" x14ac:dyDescent="0.35">
      <c r="A554" s="11">
        <v>45128.129131944443</v>
      </c>
      <c r="B554" s="12" t="s">
        <v>13</v>
      </c>
      <c r="C554" s="12" t="s">
        <v>8</v>
      </c>
      <c r="D554" s="12" t="s">
        <v>14</v>
      </c>
      <c r="E554" s="12">
        <v>5</v>
      </c>
      <c r="F554" s="12">
        <v>7890</v>
      </c>
      <c r="G554" s="13">
        <f>'Data File'!$F554*'Data File'!$E554</f>
        <v>39450</v>
      </c>
    </row>
    <row r="555" spans="1:7" x14ac:dyDescent="0.35">
      <c r="A555" s="14">
        <v>45128.493495370371</v>
      </c>
      <c r="B555" s="15" t="s">
        <v>7</v>
      </c>
      <c r="C555" s="15" t="s">
        <v>21</v>
      </c>
      <c r="D555" s="15" t="s">
        <v>14</v>
      </c>
      <c r="E555" s="15">
        <v>10</v>
      </c>
      <c r="F555" s="15">
        <v>13026</v>
      </c>
      <c r="G555" s="16">
        <f>'Data File'!$F555*'Data File'!$E555</f>
        <v>130260</v>
      </c>
    </row>
    <row r="556" spans="1:7" x14ac:dyDescent="0.35">
      <c r="A556" s="11">
        <v>45128.857858796298</v>
      </c>
      <c r="B556" s="12" t="s">
        <v>13</v>
      </c>
      <c r="C556" s="12" t="s">
        <v>11</v>
      </c>
      <c r="D556" s="12" t="s">
        <v>15</v>
      </c>
      <c r="E556" s="12">
        <v>5</v>
      </c>
      <c r="F556" s="12">
        <v>69925</v>
      </c>
      <c r="G556" s="13">
        <f>'Data File'!$F556*'Data File'!$E556</f>
        <v>349625</v>
      </c>
    </row>
    <row r="557" spans="1:7" x14ac:dyDescent="0.35">
      <c r="A557" s="14">
        <v>45129.222222222219</v>
      </c>
      <c r="B557" s="15" t="s">
        <v>7</v>
      </c>
      <c r="C557" s="15" t="s">
        <v>10</v>
      </c>
      <c r="D557" s="15" t="s">
        <v>15</v>
      </c>
      <c r="E557" s="15">
        <v>3</v>
      </c>
      <c r="F557" s="15">
        <v>73842</v>
      </c>
      <c r="G557" s="16">
        <f>'Data File'!$F557*'Data File'!$E557</f>
        <v>221526</v>
      </c>
    </row>
    <row r="558" spans="1:7" x14ac:dyDescent="0.35">
      <c r="A558" s="11">
        <v>45129.586585648147</v>
      </c>
      <c r="B558" s="12" t="s">
        <v>7</v>
      </c>
      <c r="C558" s="12" t="s">
        <v>9</v>
      </c>
      <c r="D558" s="12" t="s">
        <v>18</v>
      </c>
      <c r="E558" s="12">
        <v>6</v>
      </c>
      <c r="F558" s="12">
        <v>38665</v>
      </c>
      <c r="G558" s="13">
        <f>'Data File'!$F558*'Data File'!$E558</f>
        <v>231990</v>
      </c>
    </row>
    <row r="559" spans="1:7" x14ac:dyDescent="0.35">
      <c r="A559" s="14">
        <v>45129.950949074075</v>
      </c>
      <c r="B559" s="15" t="s">
        <v>12</v>
      </c>
      <c r="C559" s="15" t="s">
        <v>8</v>
      </c>
      <c r="D559" s="15" t="s">
        <v>17</v>
      </c>
      <c r="E559" s="15">
        <v>4</v>
      </c>
      <c r="F559" s="15">
        <v>14277</v>
      </c>
      <c r="G559" s="16">
        <f>'Data File'!$F559*'Data File'!$E559</f>
        <v>57108</v>
      </c>
    </row>
    <row r="560" spans="1:7" x14ac:dyDescent="0.35">
      <c r="A560" s="11">
        <v>45130.315312500003</v>
      </c>
      <c r="B560" s="12" t="s">
        <v>7</v>
      </c>
      <c r="C560" s="12" t="s">
        <v>9</v>
      </c>
      <c r="D560" s="12" t="s">
        <v>19</v>
      </c>
      <c r="E560" s="12">
        <v>18</v>
      </c>
      <c r="F560" s="12">
        <v>47239</v>
      </c>
      <c r="G560" s="13">
        <f>'Data File'!$F560*'Data File'!$E560</f>
        <v>850302</v>
      </c>
    </row>
    <row r="561" spans="1:7" x14ac:dyDescent="0.35">
      <c r="A561" s="14">
        <v>45130.679675925923</v>
      </c>
      <c r="B561" s="15" t="s">
        <v>12</v>
      </c>
      <c r="C561" s="15" t="s">
        <v>11</v>
      </c>
      <c r="D561" s="15" t="s">
        <v>18</v>
      </c>
      <c r="E561" s="15">
        <v>9</v>
      </c>
      <c r="F561" s="15">
        <v>52664</v>
      </c>
      <c r="G561" s="16">
        <f>'Data File'!$F561*'Data File'!$E561</f>
        <v>473976</v>
      </c>
    </row>
    <row r="562" spans="1:7" x14ac:dyDescent="0.35">
      <c r="A562" s="11">
        <v>45131.044039351851</v>
      </c>
      <c r="B562" s="12" t="s">
        <v>7</v>
      </c>
      <c r="C562" s="12" t="s">
        <v>9</v>
      </c>
      <c r="D562" s="12" t="s">
        <v>19</v>
      </c>
      <c r="E562" s="12">
        <v>17</v>
      </c>
      <c r="F562" s="12">
        <v>53008</v>
      </c>
      <c r="G562" s="13">
        <f>'Data File'!$F562*'Data File'!$E562</f>
        <v>901136</v>
      </c>
    </row>
    <row r="563" spans="1:7" x14ac:dyDescent="0.35">
      <c r="A563" s="14">
        <v>45131.408402777779</v>
      </c>
      <c r="B563" s="15" t="s">
        <v>6</v>
      </c>
      <c r="C563" s="15" t="s">
        <v>8</v>
      </c>
      <c r="D563" s="15" t="s">
        <v>17</v>
      </c>
      <c r="E563" s="15">
        <v>13</v>
      </c>
      <c r="F563" s="15">
        <v>19683</v>
      </c>
      <c r="G563" s="16">
        <f>'Data File'!$F563*'Data File'!$E563</f>
        <v>255879</v>
      </c>
    </row>
    <row r="564" spans="1:7" x14ac:dyDescent="0.35">
      <c r="A564" s="11">
        <v>45131.772777777776</v>
      </c>
      <c r="B564" s="12" t="s">
        <v>6</v>
      </c>
      <c r="C564" s="12" t="s">
        <v>11</v>
      </c>
      <c r="D564" s="12" t="s">
        <v>15</v>
      </c>
      <c r="E564" s="12">
        <v>15</v>
      </c>
      <c r="F564" s="12">
        <v>5670</v>
      </c>
      <c r="G564" s="13">
        <f>'Data File'!$F564*'Data File'!$E564</f>
        <v>85050</v>
      </c>
    </row>
    <row r="565" spans="1:7" x14ac:dyDescent="0.35">
      <c r="A565" s="14">
        <v>45132.137141203704</v>
      </c>
      <c r="B565" s="15" t="s">
        <v>6</v>
      </c>
      <c r="C565" s="15" t="s">
        <v>9</v>
      </c>
      <c r="D565" s="15" t="s">
        <v>17</v>
      </c>
      <c r="E565" s="15">
        <v>17</v>
      </c>
      <c r="F565" s="15">
        <v>22889</v>
      </c>
      <c r="G565" s="16">
        <f>'Data File'!$F565*'Data File'!$E565</f>
        <v>389113</v>
      </c>
    </row>
    <row r="566" spans="1:7" x14ac:dyDescent="0.35">
      <c r="A566" s="11">
        <v>45132.501504629632</v>
      </c>
      <c r="B566" s="12" t="s">
        <v>7</v>
      </c>
      <c r="C566" s="12" t="s">
        <v>10</v>
      </c>
      <c r="D566" s="12" t="s">
        <v>15</v>
      </c>
      <c r="E566" s="12">
        <v>13</v>
      </c>
      <c r="F566" s="12">
        <v>60612</v>
      </c>
      <c r="G566" s="13">
        <f>'Data File'!$F566*'Data File'!$E566</f>
        <v>787956</v>
      </c>
    </row>
    <row r="567" spans="1:7" x14ac:dyDescent="0.35">
      <c r="A567" s="14">
        <v>45132.865868055553</v>
      </c>
      <c r="B567" s="15" t="s">
        <v>12</v>
      </c>
      <c r="C567" s="15" t="s">
        <v>11</v>
      </c>
      <c r="D567" s="15" t="s">
        <v>17</v>
      </c>
      <c r="E567" s="15">
        <v>16</v>
      </c>
      <c r="F567" s="15">
        <v>49535</v>
      </c>
      <c r="G567" s="16">
        <f>'Data File'!$F567*'Data File'!$E567</f>
        <v>792560</v>
      </c>
    </row>
    <row r="568" spans="1:7" x14ac:dyDescent="0.35">
      <c r="A568" s="11">
        <v>45133.230231481481</v>
      </c>
      <c r="B568" s="12" t="s">
        <v>12</v>
      </c>
      <c r="C568" s="12" t="s">
        <v>11</v>
      </c>
      <c r="D568" s="12" t="s">
        <v>18</v>
      </c>
      <c r="E568" s="12">
        <v>4</v>
      </c>
      <c r="F568" s="12">
        <v>59319</v>
      </c>
      <c r="G568" s="13">
        <f>'Data File'!$F568*'Data File'!$E568</f>
        <v>237276</v>
      </c>
    </row>
    <row r="569" spans="1:7" x14ac:dyDescent="0.35">
      <c r="A569" s="14">
        <v>45133.594594907408</v>
      </c>
      <c r="B569" s="15" t="s">
        <v>7</v>
      </c>
      <c r="C569" s="15" t="s">
        <v>10</v>
      </c>
      <c r="D569" s="15" t="s">
        <v>16</v>
      </c>
      <c r="E569" s="15">
        <v>5</v>
      </c>
      <c r="F569" s="15">
        <v>26639</v>
      </c>
      <c r="G569" s="16">
        <f>'Data File'!$F569*'Data File'!$E569</f>
        <v>133195</v>
      </c>
    </row>
    <row r="570" spans="1:7" x14ac:dyDescent="0.35">
      <c r="A570" s="11">
        <v>45133.958958333336</v>
      </c>
      <c r="B570" s="12" t="s">
        <v>6</v>
      </c>
      <c r="C570" s="12" t="s">
        <v>21</v>
      </c>
      <c r="D570" s="12" t="s">
        <v>18</v>
      </c>
      <c r="E570" s="12">
        <v>5</v>
      </c>
      <c r="F570" s="12">
        <v>69712</v>
      </c>
      <c r="G570" s="13">
        <f>'Data File'!$F570*'Data File'!$E570</f>
        <v>348560</v>
      </c>
    </row>
    <row r="571" spans="1:7" x14ac:dyDescent="0.35">
      <c r="A571" s="14">
        <v>45134.323321759257</v>
      </c>
      <c r="B571" s="15" t="s">
        <v>6</v>
      </c>
      <c r="C571" s="15" t="s">
        <v>8</v>
      </c>
      <c r="D571" s="15" t="s">
        <v>19</v>
      </c>
      <c r="E571" s="15">
        <v>9</v>
      </c>
      <c r="F571" s="15">
        <v>21633</v>
      </c>
      <c r="G571" s="16">
        <f>'Data File'!$F571*'Data File'!$E571</f>
        <v>194697</v>
      </c>
    </row>
    <row r="572" spans="1:7" x14ac:dyDescent="0.35">
      <c r="A572" s="11">
        <v>45134.687685185185</v>
      </c>
      <c r="B572" s="12" t="s">
        <v>12</v>
      </c>
      <c r="C572" s="12" t="s">
        <v>21</v>
      </c>
      <c r="D572" s="12" t="s">
        <v>18</v>
      </c>
      <c r="E572" s="12">
        <v>17</v>
      </c>
      <c r="F572" s="12">
        <v>39660</v>
      </c>
      <c r="G572" s="13">
        <f>'Data File'!$F572*'Data File'!$E572</f>
        <v>674220</v>
      </c>
    </row>
    <row r="573" spans="1:7" x14ac:dyDescent="0.35">
      <c r="A573" s="14">
        <v>45135.052048611113</v>
      </c>
      <c r="B573" s="15" t="s">
        <v>6</v>
      </c>
      <c r="C573" s="15" t="s">
        <v>9</v>
      </c>
      <c r="D573" s="15" t="s">
        <v>14</v>
      </c>
      <c r="E573" s="15">
        <v>13</v>
      </c>
      <c r="F573" s="15">
        <v>73975</v>
      </c>
      <c r="G573" s="16">
        <f>'Data File'!$F573*'Data File'!$E573</f>
        <v>961675</v>
      </c>
    </row>
    <row r="574" spans="1:7" x14ac:dyDescent="0.35">
      <c r="A574" s="11">
        <v>45135.416412037041</v>
      </c>
      <c r="B574" s="12" t="s">
        <v>13</v>
      </c>
      <c r="C574" s="12" t="s">
        <v>10</v>
      </c>
      <c r="D574" s="12" t="s">
        <v>19</v>
      </c>
      <c r="E574" s="12">
        <v>2</v>
      </c>
      <c r="F574" s="12">
        <v>37172</v>
      </c>
      <c r="G574" s="13">
        <f>'Data File'!$F574*'Data File'!$E574</f>
        <v>74344</v>
      </c>
    </row>
    <row r="575" spans="1:7" x14ac:dyDescent="0.35">
      <c r="A575" s="14">
        <v>45135.780775462961</v>
      </c>
      <c r="B575" s="15" t="s">
        <v>12</v>
      </c>
      <c r="C575" s="15" t="s">
        <v>21</v>
      </c>
      <c r="D575" s="15" t="s">
        <v>17</v>
      </c>
      <c r="E575" s="15">
        <v>13</v>
      </c>
      <c r="F575" s="15">
        <v>64197</v>
      </c>
      <c r="G575" s="16">
        <f>'Data File'!$F575*'Data File'!$E575</f>
        <v>834561</v>
      </c>
    </row>
    <row r="576" spans="1:7" x14ac:dyDescent="0.35">
      <c r="A576" s="11">
        <v>45136.145150462966</v>
      </c>
      <c r="B576" s="12" t="s">
        <v>6</v>
      </c>
      <c r="C576" s="12" t="s">
        <v>11</v>
      </c>
      <c r="D576" s="12" t="s">
        <v>19</v>
      </c>
      <c r="E576" s="12">
        <v>19</v>
      </c>
      <c r="F576" s="12">
        <v>63847</v>
      </c>
      <c r="G576" s="13">
        <f>'Data File'!$F576*'Data File'!$E576</f>
        <v>1213093</v>
      </c>
    </row>
    <row r="577" spans="1:7" x14ac:dyDescent="0.35">
      <c r="A577" s="14">
        <v>45136.509513888886</v>
      </c>
      <c r="B577" s="15" t="s">
        <v>12</v>
      </c>
      <c r="C577" s="15" t="s">
        <v>9</v>
      </c>
      <c r="D577" s="15" t="s">
        <v>16</v>
      </c>
      <c r="E577" s="15">
        <v>3</v>
      </c>
      <c r="F577" s="15">
        <v>16577</v>
      </c>
      <c r="G577" s="16">
        <f>'Data File'!$F577*'Data File'!$E577</f>
        <v>49731</v>
      </c>
    </row>
    <row r="578" spans="1:7" x14ac:dyDescent="0.35">
      <c r="A578" s="11">
        <v>45136.873877314814</v>
      </c>
      <c r="B578" s="12" t="s">
        <v>13</v>
      </c>
      <c r="C578" s="12" t="s">
        <v>9</v>
      </c>
      <c r="D578" s="12" t="s">
        <v>15</v>
      </c>
      <c r="E578" s="12">
        <v>10</v>
      </c>
      <c r="F578" s="12">
        <v>25176</v>
      </c>
      <c r="G578" s="13">
        <f>'Data File'!$F578*'Data File'!$E578</f>
        <v>251760</v>
      </c>
    </row>
    <row r="579" spans="1:7" x14ac:dyDescent="0.35">
      <c r="A579" s="14">
        <v>45137.238240740742</v>
      </c>
      <c r="B579" s="15" t="s">
        <v>12</v>
      </c>
      <c r="C579" s="15" t="s">
        <v>21</v>
      </c>
      <c r="D579" s="15" t="s">
        <v>17</v>
      </c>
      <c r="E579" s="15">
        <v>2</v>
      </c>
      <c r="F579" s="15">
        <v>49386</v>
      </c>
      <c r="G579" s="16">
        <f>'Data File'!$F579*'Data File'!$E579</f>
        <v>98772</v>
      </c>
    </row>
    <row r="580" spans="1:7" x14ac:dyDescent="0.35">
      <c r="A580" s="11">
        <v>45137.60260416667</v>
      </c>
      <c r="B580" s="12" t="s">
        <v>12</v>
      </c>
      <c r="C580" s="12" t="s">
        <v>21</v>
      </c>
      <c r="D580" s="12" t="s">
        <v>19</v>
      </c>
      <c r="E580" s="12">
        <v>13</v>
      </c>
      <c r="F580" s="12">
        <v>68972</v>
      </c>
      <c r="G580" s="13">
        <f>'Data File'!$F580*'Data File'!$E580</f>
        <v>896636</v>
      </c>
    </row>
    <row r="581" spans="1:7" x14ac:dyDescent="0.35">
      <c r="A581" s="14">
        <v>45137.966967592591</v>
      </c>
      <c r="B581" s="15" t="s">
        <v>12</v>
      </c>
      <c r="C581" s="15" t="s">
        <v>10</v>
      </c>
      <c r="D581" s="15" t="s">
        <v>17</v>
      </c>
      <c r="E581" s="15">
        <v>19</v>
      </c>
      <c r="F581" s="15">
        <v>46003</v>
      </c>
      <c r="G581" s="16">
        <f>'Data File'!$F581*'Data File'!$E581</f>
        <v>874057</v>
      </c>
    </row>
    <row r="582" spans="1:7" x14ac:dyDescent="0.35">
      <c r="A582" s="11">
        <v>45138.331331018519</v>
      </c>
      <c r="B582" s="12" t="s">
        <v>12</v>
      </c>
      <c r="C582" s="12" t="s">
        <v>8</v>
      </c>
      <c r="D582" s="12" t="s">
        <v>17</v>
      </c>
      <c r="E582" s="12">
        <v>17</v>
      </c>
      <c r="F582" s="12">
        <v>24996</v>
      </c>
      <c r="G582" s="13">
        <f>'Data File'!$F582*'Data File'!$E582</f>
        <v>424932</v>
      </c>
    </row>
    <row r="583" spans="1:7" x14ac:dyDescent="0.35">
      <c r="A583" s="14">
        <v>45138.695694444446</v>
      </c>
      <c r="B583" s="15" t="s">
        <v>13</v>
      </c>
      <c r="C583" s="15" t="s">
        <v>21</v>
      </c>
      <c r="D583" s="15" t="s">
        <v>17</v>
      </c>
      <c r="E583" s="15">
        <v>14</v>
      </c>
      <c r="F583" s="15">
        <v>40931</v>
      </c>
      <c r="G583" s="16">
        <f>'Data File'!$F583*'Data File'!$E583</f>
        <v>573034</v>
      </c>
    </row>
    <row r="584" spans="1:7" x14ac:dyDescent="0.35">
      <c r="A584" s="11">
        <v>45139.060057870367</v>
      </c>
      <c r="B584" s="12" t="s">
        <v>7</v>
      </c>
      <c r="C584" s="12" t="s">
        <v>21</v>
      </c>
      <c r="D584" s="12" t="s">
        <v>15</v>
      </c>
      <c r="E584" s="12">
        <v>12</v>
      </c>
      <c r="F584" s="12">
        <v>40710</v>
      </c>
      <c r="G584" s="13">
        <f>'Data File'!$F584*'Data File'!$E584</f>
        <v>488520</v>
      </c>
    </row>
    <row r="585" spans="1:7" x14ac:dyDescent="0.35">
      <c r="A585" s="14">
        <v>45139.424421296295</v>
      </c>
      <c r="B585" s="15" t="s">
        <v>12</v>
      </c>
      <c r="C585" s="15" t="s">
        <v>11</v>
      </c>
      <c r="D585" s="15" t="s">
        <v>18</v>
      </c>
      <c r="E585" s="15">
        <v>12</v>
      </c>
      <c r="F585" s="15">
        <v>39693</v>
      </c>
      <c r="G585" s="16">
        <f>'Data File'!$F585*'Data File'!$E585</f>
        <v>476316</v>
      </c>
    </row>
    <row r="586" spans="1:7" x14ac:dyDescent="0.35">
      <c r="A586" s="11">
        <v>45139.788784722223</v>
      </c>
      <c r="B586" s="12" t="s">
        <v>12</v>
      </c>
      <c r="C586" s="12" t="s">
        <v>9</v>
      </c>
      <c r="D586" s="12" t="s">
        <v>17</v>
      </c>
      <c r="E586" s="12">
        <v>11</v>
      </c>
      <c r="F586" s="12">
        <v>40740</v>
      </c>
      <c r="G586" s="13">
        <f>'Data File'!$F586*'Data File'!$E586</f>
        <v>448140</v>
      </c>
    </row>
    <row r="587" spans="1:7" x14ac:dyDescent="0.35">
      <c r="A587" s="14">
        <v>45140.153148148151</v>
      </c>
      <c r="B587" s="15" t="s">
        <v>6</v>
      </c>
      <c r="C587" s="15" t="s">
        <v>8</v>
      </c>
      <c r="D587" s="15" t="s">
        <v>14</v>
      </c>
      <c r="E587" s="15">
        <v>7</v>
      </c>
      <c r="F587" s="15">
        <v>22374</v>
      </c>
      <c r="G587" s="16">
        <f>'Data File'!$F587*'Data File'!$E587</f>
        <v>156618</v>
      </c>
    </row>
    <row r="588" spans="1:7" x14ac:dyDescent="0.35">
      <c r="A588" s="11">
        <v>45140.517523148148</v>
      </c>
      <c r="B588" s="12" t="s">
        <v>12</v>
      </c>
      <c r="C588" s="12" t="s">
        <v>11</v>
      </c>
      <c r="D588" s="12" t="s">
        <v>16</v>
      </c>
      <c r="E588" s="12">
        <v>4</v>
      </c>
      <c r="F588" s="12">
        <v>50913</v>
      </c>
      <c r="G588" s="13">
        <f>'Data File'!$F588*'Data File'!$E588</f>
        <v>203652</v>
      </c>
    </row>
    <row r="589" spans="1:7" x14ac:dyDescent="0.35">
      <c r="A589" s="14">
        <v>45140.881886574076</v>
      </c>
      <c r="B589" s="15" t="s">
        <v>6</v>
      </c>
      <c r="C589" s="15" t="s">
        <v>10</v>
      </c>
      <c r="D589" s="15" t="s">
        <v>15</v>
      </c>
      <c r="E589" s="15">
        <v>19</v>
      </c>
      <c r="F589" s="15">
        <v>71025</v>
      </c>
      <c r="G589" s="16">
        <f>'Data File'!$F589*'Data File'!$E589</f>
        <v>1349475</v>
      </c>
    </row>
    <row r="590" spans="1:7" x14ac:dyDescent="0.35">
      <c r="A590" s="11">
        <v>45141.246249999997</v>
      </c>
      <c r="B590" s="12" t="s">
        <v>7</v>
      </c>
      <c r="C590" s="12" t="s">
        <v>10</v>
      </c>
      <c r="D590" s="12" t="s">
        <v>19</v>
      </c>
      <c r="E590" s="12">
        <v>1</v>
      </c>
      <c r="F590" s="12">
        <v>49516</v>
      </c>
      <c r="G590" s="13">
        <f>'Data File'!$F590*'Data File'!$E590</f>
        <v>49516</v>
      </c>
    </row>
    <row r="591" spans="1:7" x14ac:dyDescent="0.35">
      <c r="A591" s="14">
        <v>45141.610613425924</v>
      </c>
      <c r="B591" s="15" t="s">
        <v>13</v>
      </c>
      <c r="C591" s="15" t="s">
        <v>21</v>
      </c>
      <c r="D591" s="15" t="s">
        <v>15</v>
      </c>
      <c r="E591" s="15">
        <v>3</v>
      </c>
      <c r="F591" s="15">
        <v>31069</v>
      </c>
      <c r="G591" s="16">
        <f>'Data File'!$F591*'Data File'!$E591</f>
        <v>93207</v>
      </c>
    </row>
    <row r="592" spans="1:7" x14ac:dyDescent="0.35">
      <c r="A592" s="11">
        <v>45141.974976851852</v>
      </c>
      <c r="B592" s="12" t="s">
        <v>13</v>
      </c>
      <c r="C592" s="12" t="s">
        <v>21</v>
      </c>
      <c r="D592" s="12" t="s">
        <v>19</v>
      </c>
      <c r="E592" s="12">
        <v>13</v>
      </c>
      <c r="F592" s="12">
        <v>61233</v>
      </c>
      <c r="G592" s="13">
        <f>'Data File'!$F592*'Data File'!$E592</f>
        <v>796029</v>
      </c>
    </row>
    <row r="593" spans="1:7" x14ac:dyDescent="0.35">
      <c r="A593" s="14">
        <v>45142.33934027778</v>
      </c>
      <c r="B593" s="15" t="s">
        <v>7</v>
      </c>
      <c r="C593" s="15" t="s">
        <v>10</v>
      </c>
      <c r="D593" s="15" t="s">
        <v>15</v>
      </c>
      <c r="E593" s="15">
        <v>15</v>
      </c>
      <c r="F593" s="15">
        <v>64049</v>
      </c>
      <c r="G593" s="16">
        <f>'Data File'!$F593*'Data File'!$E593</f>
        <v>960735</v>
      </c>
    </row>
    <row r="594" spans="1:7" x14ac:dyDescent="0.35">
      <c r="A594" s="11">
        <v>45142.703703703701</v>
      </c>
      <c r="B594" s="12" t="s">
        <v>13</v>
      </c>
      <c r="C594" s="12" t="s">
        <v>21</v>
      </c>
      <c r="D594" s="12" t="s">
        <v>19</v>
      </c>
      <c r="E594" s="12">
        <v>2</v>
      </c>
      <c r="F594" s="12">
        <v>44178</v>
      </c>
      <c r="G594" s="13">
        <f>'Data File'!$F594*'Data File'!$E594</f>
        <v>88356</v>
      </c>
    </row>
    <row r="595" spans="1:7" x14ac:dyDescent="0.35">
      <c r="A595" s="14">
        <v>45143.068067129629</v>
      </c>
      <c r="B595" s="15" t="s">
        <v>7</v>
      </c>
      <c r="C595" s="15" t="s">
        <v>8</v>
      </c>
      <c r="D595" s="15" t="s">
        <v>17</v>
      </c>
      <c r="E595" s="15">
        <v>11</v>
      </c>
      <c r="F595" s="15">
        <v>37821</v>
      </c>
      <c r="G595" s="16">
        <f>'Data File'!$F595*'Data File'!$E595</f>
        <v>416031</v>
      </c>
    </row>
    <row r="596" spans="1:7" x14ac:dyDescent="0.35">
      <c r="A596" s="11">
        <v>45143.432430555556</v>
      </c>
      <c r="B596" s="12" t="s">
        <v>7</v>
      </c>
      <c r="C596" s="12" t="s">
        <v>21</v>
      </c>
      <c r="D596" s="12" t="s">
        <v>18</v>
      </c>
      <c r="E596" s="12">
        <v>4</v>
      </c>
      <c r="F596" s="12">
        <v>56727</v>
      </c>
      <c r="G596" s="13">
        <f>'Data File'!$F596*'Data File'!$E596</f>
        <v>226908</v>
      </c>
    </row>
    <row r="597" spans="1:7" x14ac:dyDescent="0.35">
      <c r="A597" s="14">
        <v>45143.796793981484</v>
      </c>
      <c r="B597" s="15" t="s">
        <v>7</v>
      </c>
      <c r="C597" s="15" t="s">
        <v>9</v>
      </c>
      <c r="D597" s="15" t="s">
        <v>19</v>
      </c>
      <c r="E597" s="15">
        <v>19</v>
      </c>
      <c r="F597" s="15">
        <v>65935</v>
      </c>
      <c r="G597" s="16">
        <f>'Data File'!$F597*'Data File'!$E597</f>
        <v>1252765</v>
      </c>
    </row>
    <row r="598" spans="1:7" x14ac:dyDescent="0.35">
      <c r="A598" s="11">
        <v>45144.161157407405</v>
      </c>
      <c r="B598" s="12" t="s">
        <v>13</v>
      </c>
      <c r="C598" s="12" t="s">
        <v>21</v>
      </c>
      <c r="D598" s="12" t="s">
        <v>19</v>
      </c>
      <c r="E598" s="12">
        <v>17</v>
      </c>
      <c r="F598" s="12">
        <v>21999</v>
      </c>
      <c r="G598" s="13">
        <f>'Data File'!$F598*'Data File'!$E598</f>
        <v>373983</v>
      </c>
    </row>
    <row r="599" spans="1:7" x14ac:dyDescent="0.35">
      <c r="A599" s="14">
        <v>45144.525520833333</v>
      </c>
      <c r="B599" s="15" t="s">
        <v>6</v>
      </c>
      <c r="C599" s="15" t="s">
        <v>11</v>
      </c>
      <c r="D599" s="15" t="s">
        <v>14</v>
      </c>
      <c r="E599" s="15">
        <v>3</v>
      </c>
      <c r="F599" s="15">
        <v>67522</v>
      </c>
      <c r="G599" s="16">
        <f>'Data File'!$F599*'Data File'!$E599</f>
        <v>202566</v>
      </c>
    </row>
    <row r="600" spans="1:7" x14ac:dyDescent="0.35">
      <c r="A600" s="11">
        <v>45144.889884259261</v>
      </c>
      <c r="B600" s="12" t="s">
        <v>7</v>
      </c>
      <c r="C600" s="12" t="s">
        <v>8</v>
      </c>
      <c r="D600" s="12" t="s">
        <v>19</v>
      </c>
      <c r="E600" s="12">
        <v>18</v>
      </c>
      <c r="F600" s="12">
        <v>43712</v>
      </c>
      <c r="G600" s="13">
        <f>'Data File'!$F600*'Data File'!$E600</f>
        <v>786816</v>
      </c>
    </row>
    <row r="601" spans="1:7" x14ac:dyDescent="0.35">
      <c r="A601" s="14">
        <v>45145.254259259258</v>
      </c>
      <c r="B601" s="15" t="s">
        <v>12</v>
      </c>
      <c r="C601" s="15" t="s">
        <v>11</v>
      </c>
      <c r="D601" s="15" t="s">
        <v>14</v>
      </c>
      <c r="E601" s="15">
        <v>8</v>
      </c>
      <c r="F601" s="15">
        <v>69551</v>
      </c>
      <c r="G601" s="16">
        <f>'Data File'!$F601*'Data File'!$E601</f>
        <v>556408</v>
      </c>
    </row>
    <row r="602" spans="1:7" x14ac:dyDescent="0.35">
      <c r="A602" s="11">
        <v>45145.618622685186</v>
      </c>
      <c r="B602" s="12" t="s">
        <v>13</v>
      </c>
      <c r="C602" s="12" t="s">
        <v>11</v>
      </c>
      <c r="D602" s="12" t="s">
        <v>16</v>
      </c>
      <c r="E602" s="12">
        <v>19</v>
      </c>
      <c r="F602" s="12">
        <v>45172</v>
      </c>
      <c r="G602" s="13">
        <f>'Data File'!$F602*'Data File'!$E602</f>
        <v>858268</v>
      </c>
    </row>
    <row r="603" spans="1:7" x14ac:dyDescent="0.35">
      <c r="A603" s="14">
        <v>45145.982986111114</v>
      </c>
      <c r="B603" s="15" t="s">
        <v>7</v>
      </c>
      <c r="C603" s="15" t="s">
        <v>9</v>
      </c>
      <c r="D603" s="15" t="s">
        <v>17</v>
      </c>
      <c r="E603" s="15">
        <v>5</v>
      </c>
      <c r="F603" s="15">
        <v>38722</v>
      </c>
      <c r="G603" s="16">
        <f>'Data File'!$F603*'Data File'!$E603</f>
        <v>193610</v>
      </c>
    </row>
    <row r="604" spans="1:7" x14ac:dyDescent="0.35">
      <c r="A604" s="11">
        <v>45146.347349537034</v>
      </c>
      <c r="B604" s="12" t="s">
        <v>7</v>
      </c>
      <c r="C604" s="12" t="s">
        <v>8</v>
      </c>
      <c r="D604" s="12" t="s">
        <v>14</v>
      </c>
      <c r="E604" s="12">
        <v>7</v>
      </c>
      <c r="F604" s="12">
        <v>15625</v>
      </c>
      <c r="G604" s="13">
        <f>'Data File'!$F604*'Data File'!$E604</f>
        <v>109375</v>
      </c>
    </row>
    <row r="605" spans="1:7" x14ac:dyDescent="0.35">
      <c r="A605" s="14">
        <v>45146.711712962962</v>
      </c>
      <c r="B605" s="15" t="s">
        <v>12</v>
      </c>
      <c r="C605" s="15" t="s">
        <v>8</v>
      </c>
      <c r="D605" s="15" t="s">
        <v>18</v>
      </c>
      <c r="E605" s="15">
        <v>8</v>
      </c>
      <c r="F605" s="15">
        <v>72165</v>
      </c>
      <c r="G605" s="16">
        <f>'Data File'!$F605*'Data File'!$E605</f>
        <v>577320</v>
      </c>
    </row>
    <row r="606" spans="1:7" x14ac:dyDescent="0.35">
      <c r="A606" s="11">
        <v>45147.07607638889</v>
      </c>
      <c r="B606" s="12" t="s">
        <v>6</v>
      </c>
      <c r="C606" s="12" t="s">
        <v>8</v>
      </c>
      <c r="D606" s="12" t="s">
        <v>17</v>
      </c>
      <c r="E606" s="12">
        <v>5</v>
      </c>
      <c r="F606" s="12">
        <v>11859</v>
      </c>
      <c r="G606" s="13">
        <f>'Data File'!$F606*'Data File'!$E606</f>
        <v>59295</v>
      </c>
    </row>
    <row r="607" spans="1:7" x14ac:dyDescent="0.35">
      <c r="A607" s="14">
        <v>45147.440439814818</v>
      </c>
      <c r="B607" s="15" t="s">
        <v>6</v>
      </c>
      <c r="C607" s="15" t="s">
        <v>8</v>
      </c>
      <c r="D607" s="15" t="s">
        <v>14</v>
      </c>
      <c r="E607" s="15">
        <v>17</v>
      </c>
      <c r="F607" s="15">
        <v>46609</v>
      </c>
      <c r="G607" s="16">
        <f>'Data File'!$F607*'Data File'!$E607</f>
        <v>792353</v>
      </c>
    </row>
    <row r="608" spans="1:7" x14ac:dyDescent="0.35">
      <c r="A608" s="11">
        <v>45147.804803240739</v>
      </c>
      <c r="B608" s="12" t="s">
        <v>6</v>
      </c>
      <c r="C608" s="12" t="s">
        <v>8</v>
      </c>
      <c r="D608" s="12" t="s">
        <v>17</v>
      </c>
      <c r="E608" s="12">
        <v>5</v>
      </c>
      <c r="F608" s="12">
        <v>48307</v>
      </c>
      <c r="G608" s="13">
        <f>'Data File'!$F608*'Data File'!$E608</f>
        <v>241535</v>
      </c>
    </row>
    <row r="609" spans="1:7" x14ac:dyDescent="0.35">
      <c r="A609" s="14">
        <v>45148.169166666667</v>
      </c>
      <c r="B609" s="15" t="s">
        <v>7</v>
      </c>
      <c r="C609" s="15" t="s">
        <v>9</v>
      </c>
      <c r="D609" s="15" t="s">
        <v>17</v>
      </c>
      <c r="E609" s="15">
        <v>4</v>
      </c>
      <c r="F609" s="15">
        <v>26839</v>
      </c>
      <c r="G609" s="16">
        <f>'Data File'!$F609*'Data File'!$E609</f>
        <v>107356</v>
      </c>
    </row>
    <row r="610" spans="1:7" x14ac:dyDescent="0.35">
      <c r="A610" s="11">
        <v>45148.533530092594</v>
      </c>
      <c r="B610" s="12" t="s">
        <v>7</v>
      </c>
      <c r="C610" s="12" t="s">
        <v>21</v>
      </c>
      <c r="D610" s="12" t="s">
        <v>17</v>
      </c>
      <c r="E610" s="12">
        <v>19</v>
      </c>
      <c r="F610" s="12">
        <v>32216</v>
      </c>
      <c r="G610" s="13">
        <f>'Data File'!$F610*'Data File'!$E610</f>
        <v>612104</v>
      </c>
    </row>
    <row r="611" spans="1:7" x14ac:dyDescent="0.35">
      <c r="A611" s="14">
        <v>45148.897893518515</v>
      </c>
      <c r="B611" s="15" t="s">
        <v>7</v>
      </c>
      <c r="C611" s="15" t="s">
        <v>11</v>
      </c>
      <c r="D611" s="15" t="s">
        <v>16</v>
      </c>
      <c r="E611" s="15">
        <v>2</v>
      </c>
      <c r="F611" s="15">
        <v>57953</v>
      </c>
      <c r="G611" s="16">
        <f>'Data File'!$F611*'Data File'!$E611</f>
        <v>115906</v>
      </c>
    </row>
    <row r="612" spans="1:7" x14ac:dyDescent="0.35">
      <c r="A612" s="11">
        <v>45149.262256944443</v>
      </c>
      <c r="B612" s="12" t="s">
        <v>13</v>
      </c>
      <c r="C612" s="12" t="s">
        <v>8</v>
      </c>
      <c r="D612" s="12" t="s">
        <v>18</v>
      </c>
      <c r="E612" s="12">
        <v>11</v>
      </c>
      <c r="F612" s="12">
        <v>65593</v>
      </c>
      <c r="G612" s="13">
        <f>'Data File'!$F612*'Data File'!$E612</f>
        <v>721523</v>
      </c>
    </row>
    <row r="613" spans="1:7" x14ac:dyDescent="0.35">
      <c r="A613" s="14">
        <v>45149.626631944448</v>
      </c>
      <c r="B613" s="15" t="s">
        <v>12</v>
      </c>
      <c r="C613" s="15" t="s">
        <v>21</v>
      </c>
      <c r="D613" s="15" t="s">
        <v>15</v>
      </c>
      <c r="E613" s="15">
        <v>13</v>
      </c>
      <c r="F613" s="15">
        <v>54522</v>
      </c>
      <c r="G613" s="16">
        <f>'Data File'!$F613*'Data File'!$E613</f>
        <v>708786</v>
      </c>
    </row>
    <row r="614" spans="1:7" x14ac:dyDescent="0.35">
      <c r="A614" s="11">
        <v>45149.990995370368</v>
      </c>
      <c r="B614" s="12" t="s">
        <v>7</v>
      </c>
      <c r="C614" s="12" t="s">
        <v>21</v>
      </c>
      <c r="D614" s="12" t="s">
        <v>15</v>
      </c>
      <c r="E614" s="12">
        <v>15</v>
      </c>
      <c r="F614" s="12">
        <v>9886</v>
      </c>
      <c r="G614" s="13">
        <f>'Data File'!$F614*'Data File'!$E614</f>
        <v>148290</v>
      </c>
    </row>
    <row r="615" spans="1:7" x14ac:dyDescent="0.35">
      <c r="A615" s="14">
        <v>45150.355358796296</v>
      </c>
      <c r="B615" s="15" t="s">
        <v>12</v>
      </c>
      <c r="C615" s="15" t="s">
        <v>11</v>
      </c>
      <c r="D615" s="15" t="s">
        <v>14</v>
      </c>
      <c r="E615" s="15">
        <v>12</v>
      </c>
      <c r="F615" s="15">
        <v>12485</v>
      </c>
      <c r="G615" s="16">
        <f>'Data File'!$F615*'Data File'!$E615</f>
        <v>149820</v>
      </c>
    </row>
    <row r="616" spans="1:7" x14ac:dyDescent="0.35">
      <c r="A616" s="11">
        <v>45150.719722222224</v>
      </c>
      <c r="B616" s="12" t="s">
        <v>12</v>
      </c>
      <c r="C616" s="12" t="s">
        <v>9</v>
      </c>
      <c r="D616" s="12" t="s">
        <v>17</v>
      </c>
      <c r="E616" s="12">
        <v>11</v>
      </c>
      <c r="F616" s="12">
        <v>36455</v>
      </c>
      <c r="G616" s="13">
        <f>'Data File'!$F616*'Data File'!$E616</f>
        <v>401005</v>
      </c>
    </row>
    <row r="617" spans="1:7" x14ac:dyDescent="0.35">
      <c r="A617" s="14">
        <v>45151.084085648145</v>
      </c>
      <c r="B617" s="15" t="s">
        <v>6</v>
      </c>
      <c r="C617" s="15" t="s">
        <v>10</v>
      </c>
      <c r="D617" s="15" t="s">
        <v>14</v>
      </c>
      <c r="E617" s="15">
        <v>7</v>
      </c>
      <c r="F617" s="15">
        <v>21767</v>
      </c>
      <c r="G617" s="16">
        <f>'Data File'!$F617*'Data File'!$E617</f>
        <v>152369</v>
      </c>
    </row>
    <row r="618" spans="1:7" x14ac:dyDescent="0.35">
      <c r="A618" s="11">
        <v>45151.448449074072</v>
      </c>
      <c r="B618" s="12" t="s">
        <v>13</v>
      </c>
      <c r="C618" s="12" t="s">
        <v>10</v>
      </c>
      <c r="D618" s="12" t="s">
        <v>16</v>
      </c>
      <c r="E618" s="12">
        <v>5</v>
      </c>
      <c r="F618" s="12">
        <v>33453</v>
      </c>
      <c r="G618" s="13">
        <f>'Data File'!$F618*'Data File'!$E618</f>
        <v>167265</v>
      </c>
    </row>
    <row r="619" spans="1:7" x14ac:dyDescent="0.35">
      <c r="A619" s="14">
        <v>45151.8128125</v>
      </c>
      <c r="B619" s="15" t="s">
        <v>7</v>
      </c>
      <c r="C619" s="15" t="s">
        <v>21</v>
      </c>
      <c r="D619" s="15" t="s">
        <v>16</v>
      </c>
      <c r="E619" s="15">
        <v>17</v>
      </c>
      <c r="F619" s="15">
        <v>58442</v>
      </c>
      <c r="G619" s="16">
        <f>'Data File'!$F619*'Data File'!$E619</f>
        <v>993514</v>
      </c>
    </row>
    <row r="620" spans="1:7" x14ac:dyDescent="0.35">
      <c r="A620" s="11">
        <v>45152.177175925928</v>
      </c>
      <c r="B620" s="12" t="s">
        <v>6</v>
      </c>
      <c r="C620" s="12" t="s">
        <v>11</v>
      </c>
      <c r="D620" s="12" t="s">
        <v>19</v>
      </c>
      <c r="E620" s="12">
        <v>9</v>
      </c>
      <c r="F620" s="12">
        <v>56877</v>
      </c>
      <c r="G620" s="13">
        <f>'Data File'!$F620*'Data File'!$E620</f>
        <v>511893</v>
      </c>
    </row>
    <row r="621" spans="1:7" x14ac:dyDescent="0.35">
      <c r="A621" s="14">
        <v>45152.541539351849</v>
      </c>
      <c r="B621" s="15" t="s">
        <v>6</v>
      </c>
      <c r="C621" s="15" t="s">
        <v>10</v>
      </c>
      <c r="D621" s="15" t="s">
        <v>16</v>
      </c>
      <c r="E621" s="15">
        <v>14</v>
      </c>
      <c r="F621" s="15">
        <v>17226</v>
      </c>
      <c r="G621" s="16">
        <f>'Data File'!$F621*'Data File'!$E621</f>
        <v>241164</v>
      </c>
    </row>
    <row r="622" spans="1:7" x14ac:dyDescent="0.35">
      <c r="A622" s="11">
        <v>45152.905902777777</v>
      </c>
      <c r="B622" s="12" t="s">
        <v>7</v>
      </c>
      <c r="C622" s="12" t="s">
        <v>21</v>
      </c>
      <c r="D622" s="12" t="s">
        <v>19</v>
      </c>
      <c r="E622" s="12">
        <v>12</v>
      </c>
      <c r="F622" s="12">
        <v>27588</v>
      </c>
      <c r="G622" s="13">
        <f>'Data File'!$F622*'Data File'!$E622</f>
        <v>331056</v>
      </c>
    </row>
    <row r="623" spans="1:7" x14ac:dyDescent="0.35">
      <c r="A623" s="14">
        <v>45153.270266203705</v>
      </c>
      <c r="B623" s="15" t="s">
        <v>12</v>
      </c>
      <c r="C623" s="15" t="s">
        <v>9</v>
      </c>
      <c r="D623" s="15" t="s">
        <v>18</v>
      </c>
      <c r="E623" s="15">
        <v>6</v>
      </c>
      <c r="F623" s="15">
        <v>36709</v>
      </c>
      <c r="G623" s="16">
        <f>'Data File'!$F623*'Data File'!$E623</f>
        <v>220254</v>
      </c>
    </row>
    <row r="624" spans="1:7" x14ac:dyDescent="0.35">
      <c r="A624" s="11">
        <v>45153.634629629632</v>
      </c>
      <c r="B624" s="12" t="s">
        <v>6</v>
      </c>
      <c r="C624" s="12" t="s">
        <v>10</v>
      </c>
      <c r="D624" s="12" t="s">
        <v>14</v>
      </c>
      <c r="E624" s="12">
        <v>17</v>
      </c>
      <c r="F624" s="12">
        <v>52788</v>
      </c>
      <c r="G624" s="13">
        <f>'Data File'!$F624*'Data File'!$E624</f>
        <v>897396</v>
      </c>
    </row>
    <row r="625" spans="1:7" x14ac:dyDescent="0.35">
      <c r="A625" s="14">
        <v>45153.99900462963</v>
      </c>
      <c r="B625" s="15" t="s">
        <v>12</v>
      </c>
      <c r="C625" s="15" t="s">
        <v>21</v>
      </c>
      <c r="D625" s="15" t="s">
        <v>18</v>
      </c>
      <c r="E625" s="15">
        <v>19</v>
      </c>
      <c r="F625" s="15">
        <v>42019</v>
      </c>
      <c r="G625" s="16">
        <f>'Data File'!$F625*'Data File'!$E625</f>
        <v>798361</v>
      </c>
    </row>
    <row r="626" spans="1:7" x14ac:dyDescent="0.35">
      <c r="A626" s="11">
        <v>45154.363368055558</v>
      </c>
      <c r="B626" s="12" t="s">
        <v>13</v>
      </c>
      <c r="C626" s="12" t="s">
        <v>21</v>
      </c>
      <c r="D626" s="12" t="s">
        <v>16</v>
      </c>
      <c r="E626" s="12">
        <v>19</v>
      </c>
      <c r="F626" s="12">
        <v>49948</v>
      </c>
      <c r="G626" s="13">
        <f>'Data File'!$F626*'Data File'!$E626</f>
        <v>949012</v>
      </c>
    </row>
    <row r="627" spans="1:7" x14ac:dyDescent="0.35">
      <c r="A627" s="14">
        <v>45154.727731481478</v>
      </c>
      <c r="B627" s="15" t="s">
        <v>12</v>
      </c>
      <c r="C627" s="15" t="s">
        <v>8</v>
      </c>
      <c r="D627" s="15" t="s">
        <v>18</v>
      </c>
      <c r="E627" s="15">
        <v>16</v>
      </c>
      <c r="F627" s="15">
        <v>70133</v>
      </c>
      <c r="G627" s="16">
        <f>'Data File'!$F627*'Data File'!$E627</f>
        <v>1122128</v>
      </c>
    </row>
    <row r="628" spans="1:7" x14ac:dyDescent="0.35">
      <c r="A628" s="11">
        <v>45155.092094907406</v>
      </c>
      <c r="B628" s="12" t="s">
        <v>13</v>
      </c>
      <c r="C628" s="12" t="s">
        <v>9</v>
      </c>
      <c r="D628" s="12" t="s">
        <v>18</v>
      </c>
      <c r="E628" s="12">
        <v>12</v>
      </c>
      <c r="F628" s="12">
        <v>71458</v>
      </c>
      <c r="G628" s="13">
        <f>'Data File'!$F628*'Data File'!$E628</f>
        <v>857496</v>
      </c>
    </row>
    <row r="629" spans="1:7" x14ac:dyDescent="0.35">
      <c r="A629" s="14">
        <v>45155.456458333334</v>
      </c>
      <c r="B629" s="15" t="s">
        <v>12</v>
      </c>
      <c r="C629" s="15" t="s">
        <v>8</v>
      </c>
      <c r="D629" s="15" t="s">
        <v>18</v>
      </c>
      <c r="E629" s="15">
        <v>12</v>
      </c>
      <c r="F629" s="15">
        <v>32526</v>
      </c>
      <c r="G629" s="16">
        <f>'Data File'!$F629*'Data File'!$E629</f>
        <v>390312</v>
      </c>
    </row>
    <row r="630" spans="1:7" x14ac:dyDescent="0.35">
      <c r="A630" s="11">
        <v>45155.820821759262</v>
      </c>
      <c r="B630" s="12" t="s">
        <v>6</v>
      </c>
      <c r="C630" s="12" t="s">
        <v>11</v>
      </c>
      <c r="D630" s="12" t="s">
        <v>16</v>
      </c>
      <c r="E630" s="12">
        <v>6</v>
      </c>
      <c r="F630" s="12">
        <v>57198</v>
      </c>
      <c r="G630" s="13">
        <f>'Data File'!$F630*'Data File'!$E630</f>
        <v>343188</v>
      </c>
    </row>
    <row r="631" spans="1:7" x14ac:dyDescent="0.35">
      <c r="A631" s="14">
        <v>45156.185185185182</v>
      </c>
      <c r="B631" s="15" t="s">
        <v>6</v>
      </c>
      <c r="C631" s="15" t="s">
        <v>8</v>
      </c>
      <c r="D631" s="15" t="s">
        <v>17</v>
      </c>
      <c r="E631" s="15">
        <v>4</v>
      </c>
      <c r="F631" s="15">
        <v>48395</v>
      </c>
      <c r="G631" s="16">
        <f>'Data File'!$F631*'Data File'!$E631</f>
        <v>193580</v>
      </c>
    </row>
    <row r="632" spans="1:7" x14ac:dyDescent="0.35">
      <c r="A632" s="11">
        <v>45156.54954861111</v>
      </c>
      <c r="B632" s="12" t="s">
        <v>13</v>
      </c>
      <c r="C632" s="12" t="s">
        <v>8</v>
      </c>
      <c r="D632" s="12" t="s">
        <v>18</v>
      </c>
      <c r="E632" s="12">
        <v>6</v>
      </c>
      <c r="F632" s="12">
        <v>29031</v>
      </c>
      <c r="G632" s="13">
        <f>'Data File'!$F632*'Data File'!$E632</f>
        <v>174186</v>
      </c>
    </row>
    <row r="633" spans="1:7" x14ac:dyDescent="0.35">
      <c r="A633" s="14">
        <v>45156.913912037038</v>
      </c>
      <c r="B633" s="15" t="s">
        <v>7</v>
      </c>
      <c r="C633" s="15" t="s">
        <v>10</v>
      </c>
      <c r="D633" s="15" t="s">
        <v>19</v>
      </c>
      <c r="E633" s="15">
        <v>11</v>
      </c>
      <c r="F633" s="15">
        <v>42701</v>
      </c>
      <c r="G633" s="16">
        <f>'Data File'!$F633*'Data File'!$E633</f>
        <v>469711</v>
      </c>
    </row>
    <row r="634" spans="1:7" x14ac:dyDescent="0.35">
      <c r="A634" s="11">
        <v>45157.278275462966</v>
      </c>
      <c r="B634" s="12" t="s">
        <v>13</v>
      </c>
      <c r="C634" s="12" t="s">
        <v>21</v>
      </c>
      <c r="D634" s="12" t="s">
        <v>16</v>
      </c>
      <c r="E634" s="12">
        <v>1</v>
      </c>
      <c r="F634" s="12">
        <v>30939</v>
      </c>
      <c r="G634" s="13">
        <f>'Data File'!$F634*'Data File'!$E634</f>
        <v>30939</v>
      </c>
    </row>
    <row r="635" spans="1:7" x14ac:dyDescent="0.35">
      <c r="A635" s="14">
        <v>45157.642638888887</v>
      </c>
      <c r="B635" s="15" t="s">
        <v>13</v>
      </c>
      <c r="C635" s="15" t="s">
        <v>9</v>
      </c>
      <c r="D635" s="15" t="s">
        <v>18</v>
      </c>
      <c r="E635" s="15">
        <v>15</v>
      </c>
      <c r="F635" s="15">
        <v>54145</v>
      </c>
      <c r="G635" s="16">
        <f>'Data File'!$F635*'Data File'!$E635</f>
        <v>812175</v>
      </c>
    </row>
    <row r="636" spans="1:7" x14ac:dyDescent="0.35">
      <c r="A636" s="11">
        <v>45158.007002314815</v>
      </c>
      <c r="B636" s="12" t="s">
        <v>12</v>
      </c>
      <c r="C636" s="12" t="s">
        <v>8</v>
      </c>
      <c r="D636" s="12" t="s">
        <v>17</v>
      </c>
      <c r="E636" s="12">
        <v>11</v>
      </c>
      <c r="F636" s="12">
        <v>25324</v>
      </c>
      <c r="G636" s="13">
        <f>'Data File'!$F636*'Data File'!$E636</f>
        <v>278564</v>
      </c>
    </row>
    <row r="637" spans="1:7" x14ac:dyDescent="0.35">
      <c r="A637" s="14">
        <v>45158.371365740742</v>
      </c>
      <c r="B637" s="15" t="s">
        <v>12</v>
      </c>
      <c r="C637" s="15" t="s">
        <v>9</v>
      </c>
      <c r="D637" s="15" t="s">
        <v>16</v>
      </c>
      <c r="E637" s="15">
        <v>19</v>
      </c>
      <c r="F637" s="15">
        <v>27867</v>
      </c>
      <c r="G637" s="16">
        <f>'Data File'!$F637*'Data File'!$E637</f>
        <v>529473</v>
      </c>
    </row>
    <row r="638" spans="1:7" x14ac:dyDescent="0.35">
      <c r="A638" s="11">
        <v>45158.73574074074</v>
      </c>
      <c r="B638" s="12" t="s">
        <v>13</v>
      </c>
      <c r="C638" s="12" t="s">
        <v>8</v>
      </c>
      <c r="D638" s="12" t="s">
        <v>15</v>
      </c>
      <c r="E638" s="12">
        <v>18</v>
      </c>
      <c r="F638" s="12">
        <v>5203</v>
      </c>
      <c r="G638" s="13">
        <f>'Data File'!$F638*'Data File'!$E638</f>
        <v>93654</v>
      </c>
    </row>
    <row r="639" spans="1:7" x14ac:dyDescent="0.35">
      <c r="A639" s="14">
        <v>45159.100104166668</v>
      </c>
      <c r="B639" s="15" t="s">
        <v>6</v>
      </c>
      <c r="C639" s="15" t="s">
        <v>11</v>
      </c>
      <c r="D639" s="15" t="s">
        <v>17</v>
      </c>
      <c r="E639" s="15">
        <v>17</v>
      </c>
      <c r="F639" s="15">
        <v>21544</v>
      </c>
      <c r="G639" s="16">
        <f>'Data File'!$F639*'Data File'!$E639</f>
        <v>366248</v>
      </c>
    </row>
    <row r="640" spans="1:7" x14ac:dyDescent="0.35">
      <c r="A640" s="11">
        <v>45159.464467592596</v>
      </c>
      <c r="B640" s="12" t="s">
        <v>12</v>
      </c>
      <c r="C640" s="12" t="s">
        <v>8</v>
      </c>
      <c r="D640" s="12" t="s">
        <v>19</v>
      </c>
      <c r="E640" s="12">
        <v>19</v>
      </c>
      <c r="F640" s="12">
        <v>20899</v>
      </c>
      <c r="G640" s="13">
        <f>'Data File'!$F640*'Data File'!$E640</f>
        <v>397081</v>
      </c>
    </row>
    <row r="641" spans="1:7" x14ac:dyDescent="0.35">
      <c r="A641" s="14">
        <v>45159.828831018516</v>
      </c>
      <c r="B641" s="15" t="s">
        <v>7</v>
      </c>
      <c r="C641" s="15" t="s">
        <v>10</v>
      </c>
      <c r="D641" s="15" t="s">
        <v>18</v>
      </c>
      <c r="E641" s="15">
        <v>14</v>
      </c>
      <c r="F641" s="15">
        <v>34063</v>
      </c>
      <c r="G641" s="16">
        <f>'Data File'!$F641*'Data File'!$E641</f>
        <v>476882</v>
      </c>
    </row>
    <row r="642" spans="1:7" x14ac:dyDescent="0.35">
      <c r="A642" s="11">
        <v>45160.193194444444</v>
      </c>
      <c r="B642" s="12" t="s">
        <v>12</v>
      </c>
      <c r="C642" s="12" t="s">
        <v>21</v>
      </c>
      <c r="D642" s="12" t="s">
        <v>15</v>
      </c>
      <c r="E642" s="12">
        <v>18</v>
      </c>
      <c r="F642" s="12">
        <v>8748</v>
      </c>
      <c r="G642" s="13">
        <f>'Data File'!$F642*'Data File'!$E642</f>
        <v>157464</v>
      </c>
    </row>
    <row r="643" spans="1:7" x14ac:dyDescent="0.35">
      <c r="A643" s="14">
        <v>45160.557557870372</v>
      </c>
      <c r="B643" s="15" t="s">
        <v>12</v>
      </c>
      <c r="C643" s="15" t="s">
        <v>11</v>
      </c>
      <c r="D643" s="15" t="s">
        <v>15</v>
      </c>
      <c r="E643" s="15">
        <v>19</v>
      </c>
      <c r="F643" s="15">
        <v>71629</v>
      </c>
      <c r="G643" s="16">
        <f>'Data File'!$F643*'Data File'!$E643</f>
        <v>1360951</v>
      </c>
    </row>
    <row r="644" spans="1:7" x14ac:dyDescent="0.35">
      <c r="A644" s="11">
        <v>45160.9219212963</v>
      </c>
      <c r="B644" s="12" t="s">
        <v>7</v>
      </c>
      <c r="C644" s="12" t="s">
        <v>8</v>
      </c>
      <c r="D644" s="12" t="s">
        <v>16</v>
      </c>
      <c r="E644" s="12">
        <v>15</v>
      </c>
      <c r="F644" s="12">
        <v>25884</v>
      </c>
      <c r="G644" s="13">
        <f>'Data File'!$F644*'Data File'!$E644</f>
        <v>388260</v>
      </c>
    </row>
    <row r="645" spans="1:7" x14ac:dyDescent="0.35">
      <c r="A645" s="14">
        <v>45161.28628472222</v>
      </c>
      <c r="B645" s="15" t="s">
        <v>13</v>
      </c>
      <c r="C645" s="15" t="s">
        <v>9</v>
      </c>
      <c r="D645" s="15" t="s">
        <v>15</v>
      </c>
      <c r="E645" s="15">
        <v>15</v>
      </c>
      <c r="F645" s="15">
        <v>30183</v>
      </c>
      <c r="G645" s="16">
        <f>'Data File'!$F645*'Data File'!$E645</f>
        <v>452745</v>
      </c>
    </row>
    <row r="646" spans="1:7" x14ac:dyDescent="0.35">
      <c r="A646" s="11">
        <v>45161.650648148148</v>
      </c>
      <c r="B646" s="12" t="s">
        <v>7</v>
      </c>
      <c r="C646" s="12" t="s">
        <v>11</v>
      </c>
      <c r="D646" s="12" t="s">
        <v>19</v>
      </c>
      <c r="E646" s="12">
        <v>4</v>
      </c>
      <c r="F646" s="12">
        <v>24259</v>
      </c>
      <c r="G646" s="13">
        <f>'Data File'!$F646*'Data File'!$E646</f>
        <v>97036</v>
      </c>
    </row>
    <row r="647" spans="1:7" x14ac:dyDescent="0.35">
      <c r="A647" s="14">
        <v>45162.015011574076</v>
      </c>
      <c r="B647" s="15" t="s">
        <v>13</v>
      </c>
      <c r="C647" s="15" t="s">
        <v>11</v>
      </c>
      <c r="D647" s="15" t="s">
        <v>19</v>
      </c>
      <c r="E647" s="15">
        <v>7</v>
      </c>
      <c r="F647" s="15">
        <v>40959</v>
      </c>
      <c r="G647" s="16">
        <f>'Data File'!$F647*'Data File'!$E647</f>
        <v>286713</v>
      </c>
    </row>
    <row r="648" spans="1:7" x14ac:dyDescent="0.35">
      <c r="A648" s="11">
        <v>45162.379374999997</v>
      </c>
      <c r="B648" s="12" t="s">
        <v>13</v>
      </c>
      <c r="C648" s="12" t="s">
        <v>8</v>
      </c>
      <c r="D648" s="12" t="s">
        <v>14</v>
      </c>
      <c r="E648" s="12">
        <v>13</v>
      </c>
      <c r="F648" s="12">
        <v>38457</v>
      </c>
      <c r="G648" s="13">
        <f>'Data File'!$F648*'Data File'!$E648</f>
        <v>499941</v>
      </c>
    </row>
    <row r="649" spans="1:7" x14ac:dyDescent="0.35">
      <c r="A649" s="14">
        <v>45162.743738425925</v>
      </c>
      <c r="B649" s="15" t="s">
        <v>13</v>
      </c>
      <c r="C649" s="15" t="s">
        <v>11</v>
      </c>
      <c r="D649" s="15" t="s">
        <v>19</v>
      </c>
      <c r="E649" s="15">
        <v>3</v>
      </c>
      <c r="F649" s="15">
        <v>7103</v>
      </c>
      <c r="G649" s="16">
        <f>'Data File'!$F649*'Data File'!$E649</f>
        <v>21309</v>
      </c>
    </row>
    <row r="650" spans="1:7" x14ac:dyDescent="0.35">
      <c r="A650" s="11">
        <v>45163.108113425929</v>
      </c>
      <c r="B650" s="12" t="s">
        <v>7</v>
      </c>
      <c r="C650" s="12" t="s">
        <v>9</v>
      </c>
      <c r="D650" s="12" t="s">
        <v>17</v>
      </c>
      <c r="E650" s="12">
        <v>16</v>
      </c>
      <c r="F650" s="12">
        <v>70901</v>
      </c>
      <c r="G650" s="13">
        <f>'Data File'!$F650*'Data File'!$E650</f>
        <v>1134416</v>
      </c>
    </row>
    <row r="651" spans="1:7" x14ac:dyDescent="0.35">
      <c r="A651" s="14">
        <v>45163.47247685185</v>
      </c>
      <c r="B651" s="15" t="s">
        <v>13</v>
      </c>
      <c r="C651" s="15" t="s">
        <v>11</v>
      </c>
      <c r="D651" s="15" t="s">
        <v>15</v>
      </c>
      <c r="E651" s="15">
        <v>9</v>
      </c>
      <c r="F651" s="15">
        <v>49535</v>
      </c>
      <c r="G651" s="16">
        <f>'Data File'!$F651*'Data File'!$E651</f>
        <v>445815</v>
      </c>
    </row>
    <row r="652" spans="1:7" x14ac:dyDescent="0.35">
      <c r="A652" s="11">
        <v>45163.836840277778</v>
      </c>
      <c r="B652" s="12" t="s">
        <v>6</v>
      </c>
      <c r="C652" s="12" t="s">
        <v>9</v>
      </c>
      <c r="D652" s="12" t="s">
        <v>19</v>
      </c>
      <c r="E652" s="12">
        <v>8</v>
      </c>
      <c r="F652" s="12">
        <v>21103</v>
      </c>
      <c r="G652" s="13">
        <f>'Data File'!$F652*'Data File'!$E652</f>
        <v>168824</v>
      </c>
    </row>
    <row r="653" spans="1:7" x14ac:dyDescent="0.35">
      <c r="A653" s="14">
        <v>45164.201203703706</v>
      </c>
      <c r="B653" s="15" t="s">
        <v>7</v>
      </c>
      <c r="C653" s="15" t="s">
        <v>8</v>
      </c>
      <c r="D653" s="15" t="s">
        <v>16</v>
      </c>
      <c r="E653" s="15">
        <v>13</v>
      </c>
      <c r="F653" s="15">
        <v>17391</v>
      </c>
      <c r="G653" s="16">
        <f>'Data File'!$F653*'Data File'!$E653</f>
        <v>226083</v>
      </c>
    </row>
    <row r="654" spans="1:7" x14ac:dyDescent="0.35">
      <c r="A654" s="11">
        <v>45164.565567129626</v>
      </c>
      <c r="B654" s="12" t="s">
        <v>6</v>
      </c>
      <c r="C654" s="12" t="s">
        <v>21</v>
      </c>
      <c r="D654" s="12" t="s">
        <v>14</v>
      </c>
      <c r="E654" s="12">
        <v>17</v>
      </c>
      <c r="F654" s="12">
        <v>33901</v>
      </c>
      <c r="G654" s="13">
        <f>'Data File'!$F654*'Data File'!$E654</f>
        <v>576317</v>
      </c>
    </row>
    <row r="655" spans="1:7" x14ac:dyDescent="0.35">
      <c r="A655" s="14">
        <v>45164.929930555554</v>
      </c>
      <c r="B655" s="15" t="s">
        <v>13</v>
      </c>
      <c r="C655" s="15" t="s">
        <v>11</v>
      </c>
      <c r="D655" s="15" t="s">
        <v>15</v>
      </c>
      <c r="E655" s="15">
        <v>17</v>
      </c>
      <c r="F655" s="15">
        <v>72914</v>
      </c>
      <c r="G655" s="16">
        <f>'Data File'!$F655*'Data File'!$E655</f>
        <v>1239538</v>
      </c>
    </row>
    <row r="656" spans="1:7" x14ac:dyDescent="0.35">
      <c r="A656" s="11">
        <v>45165.294293981482</v>
      </c>
      <c r="B656" s="12" t="s">
        <v>12</v>
      </c>
      <c r="C656" s="12" t="s">
        <v>21</v>
      </c>
      <c r="D656" s="12" t="s">
        <v>14</v>
      </c>
      <c r="E656" s="12">
        <v>17</v>
      </c>
      <c r="F656" s="12">
        <v>55357</v>
      </c>
      <c r="G656" s="13">
        <f>'Data File'!$F656*'Data File'!$E656</f>
        <v>941069</v>
      </c>
    </row>
    <row r="657" spans="1:7" x14ac:dyDescent="0.35">
      <c r="A657" s="14">
        <v>45165.65865740741</v>
      </c>
      <c r="B657" s="15" t="s">
        <v>13</v>
      </c>
      <c r="C657" s="15" t="s">
        <v>9</v>
      </c>
      <c r="D657" s="15" t="s">
        <v>15</v>
      </c>
      <c r="E657" s="15">
        <v>1</v>
      </c>
      <c r="F657" s="15">
        <v>43437</v>
      </c>
      <c r="G657" s="16">
        <f>'Data File'!$F657*'Data File'!$E657</f>
        <v>43437</v>
      </c>
    </row>
    <row r="658" spans="1:7" x14ac:dyDescent="0.35">
      <c r="A658" s="11">
        <v>45166.023020833331</v>
      </c>
      <c r="B658" s="12" t="s">
        <v>6</v>
      </c>
      <c r="C658" s="12" t="s">
        <v>11</v>
      </c>
      <c r="D658" s="12" t="s">
        <v>16</v>
      </c>
      <c r="E658" s="12">
        <v>8</v>
      </c>
      <c r="F658" s="12">
        <v>40503</v>
      </c>
      <c r="G658" s="13">
        <f>'Data File'!$F658*'Data File'!$E658</f>
        <v>324024</v>
      </c>
    </row>
    <row r="659" spans="1:7" x14ac:dyDescent="0.35">
      <c r="A659" s="14">
        <v>45166.387384259258</v>
      </c>
      <c r="B659" s="15" t="s">
        <v>6</v>
      </c>
      <c r="C659" s="15" t="s">
        <v>10</v>
      </c>
      <c r="D659" s="15" t="s">
        <v>14</v>
      </c>
      <c r="E659" s="15">
        <v>19</v>
      </c>
      <c r="F659" s="15">
        <v>46258</v>
      </c>
      <c r="G659" s="16">
        <f>'Data File'!$F659*'Data File'!$E659</f>
        <v>878902</v>
      </c>
    </row>
    <row r="660" spans="1:7" x14ac:dyDescent="0.35">
      <c r="A660" s="11">
        <v>45166.751747685186</v>
      </c>
      <c r="B660" s="12" t="s">
        <v>7</v>
      </c>
      <c r="C660" s="12" t="s">
        <v>21</v>
      </c>
      <c r="D660" s="12" t="s">
        <v>18</v>
      </c>
      <c r="E660" s="12">
        <v>6</v>
      </c>
      <c r="F660" s="12">
        <v>38724</v>
      </c>
      <c r="G660" s="13">
        <f>'Data File'!$F660*'Data File'!$E660</f>
        <v>232344</v>
      </c>
    </row>
    <row r="661" spans="1:7" x14ac:dyDescent="0.35">
      <c r="A661" s="14">
        <v>45167.116111111114</v>
      </c>
      <c r="B661" s="15" t="s">
        <v>12</v>
      </c>
      <c r="C661" s="15" t="s">
        <v>11</v>
      </c>
      <c r="D661" s="15" t="s">
        <v>17</v>
      </c>
      <c r="E661" s="15">
        <v>3</v>
      </c>
      <c r="F661" s="15">
        <v>69286</v>
      </c>
      <c r="G661" s="16">
        <f>'Data File'!$F661*'Data File'!$E661</f>
        <v>207858</v>
      </c>
    </row>
    <row r="662" spans="1:7" x14ac:dyDescent="0.35">
      <c r="A662" s="11">
        <v>45167.480486111112</v>
      </c>
      <c r="B662" s="12" t="s">
        <v>7</v>
      </c>
      <c r="C662" s="12" t="s">
        <v>21</v>
      </c>
      <c r="D662" s="12" t="s">
        <v>17</v>
      </c>
      <c r="E662" s="12">
        <v>5</v>
      </c>
      <c r="F662" s="12">
        <v>19908</v>
      </c>
      <c r="G662" s="13">
        <f>'Data File'!$F662*'Data File'!$E662</f>
        <v>99540</v>
      </c>
    </row>
    <row r="663" spans="1:7" x14ac:dyDescent="0.35">
      <c r="A663" s="14">
        <v>45167.844849537039</v>
      </c>
      <c r="B663" s="15" t="s">
        <v>6</v>
      </c>
      <c r="C663" s="15" t="s">
        <v>11</v>
      </c>
      <c r="D663" s="15" t="s">
        <v>15</v>
      </c>
      <c r="E663" s="15">
        <v>13</v>
      </c>
      <c r="F663" s="15">
        <v>55626</v>
      </c>
      <c r="G663" s="16">
        <f>'Data File'!$F663*'Data File'!$E663</f>
        <v>723138</v>
      </c>
    </row>
    <row r="664" spans="1:7" x14ac:dyDescent="0.35">
      <c r="A664" s="11">
        <v>45168.20921296296</v>
      </c>
      <c r="B664" s="12" t="s">
        <v>13</v>
      </c>
      <c r="C664" s="12" t="s">
        <v>8</v>
      </c>
      <c r="D664" s="12" t="s">
        <v>18</v>
      </c>
      <c r="E664" s="12">
        <v>15</v>
      </c>
      <c r="F664" s="12">
        <v>42228</v>
      </c>
      <c r="G664" s="13">
        <f>'Data File'!$F664*'Data File'!$E664</f>
        <v>633420</v>
      </c>
    </row>
    <row r="665" spans="1:7" x14ac:dyDescent="0.35">
      <c r="A665" s="14">
        <v>45168.573576388888</v>
      </c>
      <c r="B665" s="15" t="s">
        <v>12</v>
      </c>
      <c r="C665" s="15" t="s">
        <v>21</v>
      </c>
      <c r="D665" s="15" t="s">
        <v>14</v>
      </c>
      <c r="E665" s="15">
        <v>14</v>
      </c>
      <c r="F665" s="15">
        <v>28386</v>
      </c>
      <c r="G665" s="16">
        <f>'Data File'!$F665*'Data File'!$E665</f>
        <v>397404</v>
      </c>
    </row>
    <row r="666" spans="1:7" x14ac:dyDescent="0.35">
      <c r="A666" s="11">
        <v>45168.937939814816</v>
      </c>
      <c r="B666" s="12" t="s">
        <v>13</v>
      </c>
      <c r="C666" s="12" t="s">
        <v>10</v>
      </c>
      <c r="D666" s="12" t="s">
        <v>18</v>
      </c>
      <c r="E666" s="12">
        <v>16</v>
      </c>
      <c r="F666" s="12">
        <v>51754</v>
      </c>
      <c r="G666" s="13">
        <f>'Data File'!$F666*'Data File'!$E666</f>
        <v>828064</v>
      </c>
    </row>
    <row r="667" spans="1:7" x14ac:dyDescent="0.35">
      <c r="A667" s="14">
        <v>45169.302303240744</v>
      </c>
      <c r="B667" s="15" t="s">
        <v>13</v>
      </c>
      <c r="C667" s="15" t="s">
        <v>10</v>
      </c>
      <c r="D667" s="15" t="s">
        <v>18</v>
      </c>
      <c r="E667" s="15">
        <v>18</v>
      </c>
      <c r="F667" s="15">
        <v>33302</v>
      </c>
      <c r="G667" s="16">
        <f>'Data File'!$F667*'Data File'!$E667</f>
        <v>599436</v>
      </c>
    </row>
    <row r="668" spans="1:7" x14ac:dyDescent="0.35">
      <c r="A668" s="11">
        <v>45169.666666666664</v>
      </c>
      <c r="B668" s="12" t="s">
        <v>12</v>
      </c>
      <c r="C668" s="12" t="s">
        <v>9</v>
      </c>
      <c r="D668" s="12" t="s">
        <v>14</v>
      </c>
      <c r="E668" s="12">
        <v>11</v>
      </c>
      <c r="F668" s="12">
        <v>65815</v>
      </c>
      <c r="G668" s="13">
        <f>'Data File'!$F668*'Data File'!$E668</f>
        <v>723965</v>
      </c>
    </row>
    <row r="669" spans="1:7" x14ac:dyDescent="0.35">
      <c r="A669" s="14">
        <v>45170.031030092592</v>
      </c>
      <c r="B669" s="15" t="s">
        <v>7</v>
      </c>
      <c r="C669" s="15" t="s">
        <v>11</v>
      </c>
      <c r="D669" s="15" t="s">
        <v>16</v>
      </c>
      <c r="E669" s="15">
        <v>3</v>
      </c>
      <c r="F669" s="15">
        <v>68344</v>
      </c>
      <c r="G669" s="16">
        <f>'Data File'!$F669*'Data File'!$E669</f>
        <v>205032</v>
      </c>
    </row>
    <row r="670" spans="1:7" x14ac:dyDescent="0.35">
      <c r="A670" s="11">
        <v>45170.39539351852</v>
      </c>
      <c r="B670" s="12" t="s">
        <v>13</v>
      </c>
      <c r="C670" s="12" t="s">
        <v>21</v>
      </c>
      <c r="D670" s="12" t="s">
        <v>18</v>
      </c>
      <c r="E670" s="12">
        <v>10</v>
      </c>
      <c r="F670" s="12">
        <v>40618</v>
      </c>
      <c r="G670" s="13">
        <f>'Data File'!$F670*'Data File'!$E670</f>
        <v>406180</v>
      </c>
    </row>
    <row r="671" spans="1:7" x14ac:dyDescent="0.35">
      <c r="A671" s="14">
        <v>45170.759756944448</v>
      </c>
      <c r="B671" s="15" t="s">
        <v>6</v>
      </c>
      <c r="C671" s="15" t="s">
        <v>9</v>
      </c>
      <c r="D671" s="15" t="s">
        <v>18</v>
      </c>
      <c r="E671" s="15">
        <v>10</v>
      </c>
      <c r="F671" s="15">
        <v>66114</v>
      </c>
      <c r="G671" s="16">
        <f>'Data File'!$F671*'Data File'!$E671</f>
        <v>661140</v>
      </c>
    </row>
    <row r="672" spans="1:7" x14ac:dyDescent="0.35">
      <c r="A672" s="11">
        <v>45171.124120370368</v>
      </c>
      <c r="B672" s="12" t="s">
        <v>13</v>
      </c>
      <c r="C672" s="12" t="s">
        <v>21</v>
      </c>
      <c r="D672" s="12" t="s">
        <v>16</v>
      </c>
      <c r="E672" s="12">
        <v>16</v>
      </c>
      <c r="F672" s="12">
        <v>30525</v>
      </c>
      <c r="G672" s="13">
        <f>'Data File'!$F672*'Data File'!$E672</f>
        <v>488400</v>
      </c>
    </row>
    <row r="673" spans="1:7" x14ac:dyDescent="0.35">
      <c r="A673" s="14">
        <v>45171.488483796296</v>
      </c>
      <c r="B673" s="15" t="s">
        <v>12</v>
      </c>
      <c r="C673" s="15" t="s">
        <v>11</v>
      </c>
      <c r="D673" s="15" t="s">
        <v>18</v>
      </c>
      <c r="E673" s="15">
        <v>12</v>
      </c>
      <c r="F673" s="15">
        <v>19334</v>
      </c>
      <c r="G673" s="16">
        <f>'Data File'!$F673*'Data File'!$E673</f>
        <v>232008</v>
      </c>
    </row>
    <row r="674" spans="1:7" x14ac:dyDescent="0.35">
      <c r="A674" s="11">
        <v>45171.852847222224</v>
      </c>
      <c r="B674" s="12" t="s">
        <v>12</v>
      </c>
      <c r="C674" s="12" t="s">
        <v>10</v>
      </c>
      <c r="D674" s="12" t="s">
        <v>18</v>
      </c>
      <c r="E674" s="12">
        <v>2</v>
      </c>
      <c r="F674" s="12">
        <v>67767</v>
      </c>
      <c r="G674" s="13">
        <f>'Data File'!$F674*'Data File'!$E674</f>
        <v>135534</v>
      </c>
    </row>
    <row r="675" spans="1:7" x14ac:dyDescent="0.35">
      <c r="A675" s="14">
        <v>45172.217222222222</v>
      </c>
      <c r="B675" s="15" t="s">
        <v>12</v>
      </c>
      <c r="C675" s="15" t="s">
        <v>8</v>
      </c>
      <c r="D675" s="15" t="s">
        <v>18</v>
      </c>
      <c r="E675" s="15">
        <v>9</v>
      </c>
      <c r="F675" s="15">
        <v>11644</v>
      </c>
      <c r="G675" s="16">
        <f>'Data File'!$F675*'Data File'!$E675</f>
        <v>104796</v>
      </c>
    </row>
    <row r="676" spans="1:7" x14ac:dyDescent="0.35">
      <c r="A676" s="11">
        <v>45172.581585648149</v>
      </c>
      <c r="B676" s="12" t="s">
        <v>7</v>
      </c>
      <c r="C676" s="12" t="s">
        <v>10</v>
      </c>
      <c r="D676" s="12" t="s">
        <v>17</v>
      </c>
      <c r="E676" s="12">
        <v>3</v>
      </c>
      <c r="F676" s="12">
        <v>37933</v>
      </c>
      <c r="G676" s="13">
        <f>'Data File'!$F676*'Data File'!$E676</f>
        <v>113799</v>
      </c>
    </row>
    <row r="677" spans="1:7" x14ac:dyDescent="0.35">
      <c r="A677" s="14">
        <v>45172.945949074077</v>
      </c>
      <c r="B677" s="15" t="s">
        <v>13</v>
      </c>
      <c r="C677" s="15" t="s">
        <v>9</v>
      </c>
      <c r="D677" s="15" t="s">
        <v>19</v>
      </c>
      <c r="E677" s="15">
        <v>15</v>
      </c>
      <c r="F677" s="15">
        <v>48469</v>
      </c>
      <c r="G677" s="16">
        <f>'Data File'!$F677*'Data File'!$E677</f>
        <v>727035</v>
      </c>
    </row>
    <row r="678" spans="1:7" x14ac:dyDescent="0.35">
      <c r="A678" s="11">
        <v>45173.310312499998</v>
      </c>
      <c r="B678" s="12" t="s">
        <v>7</v>
      </c>
      <c r="C678" s="12" t="s">
        <v>8</v>
      </c>
      <c r="D678" s="12" t="s">
        <v>16</v>
      </c>
      <c r="E678" s="12">
        <v>3</v>
      </c>
      <c r="F678" s="12">
        <v>38687</v>
      </c>
      <c r="G678" s="13">
        <f>'Data File'!$F678*'Data File'!$E678</f>
        <v>116061</v>
      </c>
    </row>
    <row r="679" spans="1:7" x14ac:dyDescent="0.35">
      <c r="A679" s="14">
        <v>45173.674675925926</v>
      </c>
      <c r="B679" s="15" t="s">
        <v>7</v>
      </c>
      <c r="C679" s="15" t="s">
        <v>9</v>
      </c>
      <c r="D679" s="15" t="s">
        <v>18</v>
      </c>
      <c r="E679" s="15">
        <v>19</v>
      </c>
      <c r="F679" s="15">
        <v>57656</v>
      </c>
      <c r="G679" s="16">
        <f>'Data File'!$F679*'Data File'!$E679</f>
        <v>1095464</v>
      </c>
    </row>
    <row r="680" spans="1:7" x14ac:dyDescent="0.35">
      <c r="A680" s="11">
        <v>45174.039039351854</v>
      </c>
      <c r="B680" s="12" t="s">
        <v>12</v>
      </c>
      <c r="C680" s="12" t="s">
        <v>11</v>
      </c>
      <c r="D680" s="12" t="s">
        <v>17</v>
      </c>
      <c r="E680" s="12">
        <v>18</v>
      </c>
      <c r="F680" s="12">
        <v>22375</v>
      </c>
      <c r="G680" s="13">
        <f>'Data File'!$F680*'Data File'!$E680</f>
        <v>402750</v>
      </c>
    </row>
    <row r="681" spans="1:7" x14ac:dyDescent="0.35">
      <c r="A681" s="14">
        <v>45174.403402777774</v>
      </c>
      <c r="B681" s="15" t="s">
        <v>12</v>
      </c>
      <c r="C681" s="15" t="s">
        <v>8</v>
      </c>
      <c r="D681" s="15" t="s">
        <v>16</v>
      </c>
      <c r="E681" s="15">
        <v>8</v>
      </c>
      <c r="F681" s="15">
        <v>70206</v>
      </c>
      <c r="G681" s="16">
        <f>'Data File'!$F681*'Data File'!$E681</f>
        <v>561648</v>
      </c>
    </row>
    <row r="682" spans="1:7" x14ac:dyDescent="0.35">
      <c r="A682" s="11">
        <v>45174.767766203702</v>
      </c>
      <c r="B682" s="12" t="s">
        <v>7</v>
      </c>
      <c r="C682" s="12" t="s">
        <v>9</v>
      </c>
      <c r="D682" s="12" t="s">
        <v>15</v>
      </c>
      <c r="E682" s="12">
        <v>17</v>
      </c>
      <c r="F682" s="12">
        <v>41607</v>
      </c>
      <c r="G682" s="13">
        <f>'Data File'!$F682*'Data File'!$E682</f>
        <v>707319</v>
      </c>
    </row>
    <row r="683" spans="1:7" x14ac:dyDescent="0.35">
      <c r="A683" s="14">
        <v>45175.13212962963</v>
      </c>
      <c r="B683" s="15" t="s">
        <v>13</v>
      </c>
      <c r="C683" s="15" t="s">
        <v>11</v>
      </c>
      <c r="D683" s="15" t="s">
        <v>15</v>
      </c>
      <c r="E683" s="15">
        <v>8</v>
      </c>
      <c r="F683" s="15">
        <v>28993</v>
      </c>
      <c r="G683" s="16">
        <f>'Data File'!$F683*'Data File'!$E683</f>
        <v>231944</v>
      </c>
    </row>
    <row r="684" spans="1:7" x14ac:dyDescent="0.35">
      <c r="A684" s="11">
        <v>45175.496493055558</v>
      </c>
      <c r="B684" s="12" t="s">
        <v>6</v>
      </c>
      <c r="C684" s="12" t="s">
        <v>10</v>
      </c>
      <c r="D684" s="12" t="s">
        <v>18</v>
      </c>
      <c r="E684" s="12">
        <v>7</v>
      </c>
      <c r="F684" s="12">
        <v>49386</v>
      </c>
      <c r="G684" s="13">
        <f>'Data File'!$F684*'Data File'!$E684</f>
        <v>345702</v>
      </c>
    </row>
    <row r="685" spans="1:7" x14ac:dyDescent="0.35">
      <c r="A685" s="14">
        <v>45175.860856481479</v>
      </c>
      <c r="B685" s="15" t="s">
        <v>7</v>
      </c>
      <c r="C685" s="15" t="s">
        <v>11</v>
      </c>
      <c r="D685" s="15" t="s">
        <v>17</v>
      </c>
      <c r="E685" s="15">
        <v>7</v>
      </c>
      <c r="F685" s="15">
        <v>51287</v>
      </c>
      <c r="G685" s="16">
        <f>'Data File'!$F685*'Data File'!$E685</f>
        <v>359009</v>
      </c>
    </row>
    <row r="686" spans="1:7" x14ac:dyDescent="0.35">
      <c r="A686" s="11">
        <v>45176.225219907406</v>
      </c>
      <c r="B686" s="12" t="s">
        <v>13</v>
      </c>
      <c r="C686" s="12" t="s">
        <v>21</v>
      </c>
      <c r="D686" s="12" t="s">
        <v>17</v>
      </c>
      <c r="E686" s="12">
        <v>3</v>
      </c>
      <c r="F686" s="12">
        <v>13210</v>
      </c>
      <c r="G686" s="13">
        <f>'Data File'!$F686*'Data File'!$E686</f>
        <v>39630</v>
      </c>
    </row>
    <row r="687" spans="1:7" x14ac:dyDescent="0.35">
      <c r="A687" s="14">
        <v>45176.589594907404</v>
      </c>
      <c r="B687" s="15" t="s">
        <v>12</v>
      </c>
      <c r="C687" s="15" t="s">
        <v>11</v>
      </c>
      <c r="D687" s="15" t="s">
        <v>16</v>
      </c>
      <c r="E687" s="15">
        <v>1</v>
      </c>
      <c r="F687" s="15">
        <v>15922</v>
      </c>
      <c r="G687" s="16">
        <f>'Data File'!$F687*'Data File'!$E687</f>
        <v>15922</v>
      </c>
    </row>
    <row r="688" spans="1:7" x14ac:dyDescent="0.35">
      <c r="A688" s="11">
        <v>45176.953958333332</v>
      </c>
      <c r="B688" s="12" t="s">
        <v>12</v>
      </c>
      <c r="C688" s="12" t="s">
        <v>11</v>
      </c>
      <c r="D688" s="12" t="s">
        <v>16</v>
      </c>
      <c r="E688" s="12">
        <v>4</v>
      </c>
      <c r="F688" s="12">
        <v>41289</v>
      </c>
      <c r="G688" s="13">
        <f>'Data File'!$F688*'Data File'!$E688</f>
        <v>165156</v>
      </c>
    </row>
    <row r="689" spans="1:7" x14ac:dyDescent="0.35">
      <c r="A689" s="14">
        <v>45177.31832175926</v>
      </c>
      <c r="B689" s="15" t="s">
        <v>13</v>
      </c>
      <c r="C689" s="15" t="s">
        <v>21</v>
      </c>
      <c r="D689" s="15" t="s">
        <v>17</v>
      </c>
      <c r="E689" s="15">
        <v>5</v>
      </c>
      <c r="F689" s="15">
        <v>38340</v>
      </c>
      <c r="G689" s="16">
        <f>'Data File'!$F689*'Data File'!$E689</f>
        <v>191700</v>
      </c>
    </row>
    <row r="690" spans="1:7" x14ac:dyDescent="0.35">
      <c r="A690" s="11">
        <v>45177.682685185187</v>
      </c>
      <c r="B690" s="12" t="s">
        <v>6</v>
      </c>
      <c r="C690" s="12" t="s">
        <v>9</v>
      </c>
      <c r="D690" s="12" t="s">
        <v>16</v>
      </c>
      <c r="E690" s="12">
        <v>1</v>
      </c>
      <c r="F690" s="12">
        <v>44850</v>
      </c>
      <c r="G690" s="13">
        <f>'Data File'!$F690*'Data File'!$E690</f>
        <v>44850</v>
      </c>
    </row>
    <row r="691" spans="1:7" x14ac:dyDescent="0.35">
      <c r="A691" s="14">
        <v>45178.047048611108</v>
      </c>
      <c r="B691" s="15" t="s">
        <v>12</v>
      </c>
      <c r="C691" s="15" t="s">
        <v>9</v>
      </c>
      <c r="D691" s="15" t="s">
        <v>17</v>
      </c>
      <c r="E691" s="15">
        <v>15</v>
      </c>
      <c r="F691" s="15">
        <v>61984</v>
      </c>
      <c r="G691" s="16">
        <f>'Data File'!$F691*'Data File'!$E691</f>
        <v>929760</v>
      </c>
    </row>
    <row r="692" spans="1:7" x14ac:dyDescent="0.35">
      <c r="A692" s="11">
        <v>45178.411412037036</v>
      </c>
      <c r="B692" s="12" t="s">
        <v>12</v>
      </c>
      <c r="C692" s="12" t="s">
        <v>11</v>
      </c>
      <c r="D692" s="12" t="s">
        <v>19</v>
      </c>
      <c r="E692" s="12">
        <v>5</v>
      </c>
      <c r="F692" s="12">
        <v>16094</v>
      </c>
      <c r="G692" s="13">
        <f>'Data File'!$F692*'Data File'!$E692</f>
        <v>80470</v>
      </c>
    </row>
    <row r="693" spans="1:7" x14ac:dyDescent="0.35">
      <c r="A693" s="14">
        <v>45178.775775462964</v>
      </c>
      <c r="B693" s="15" t="s">
        <v>12</v>
      </c>
      <c r="C693" s="15" t="s">
        <v>21</v>
      </c>
      <c r="D693" s="15" t="s">
        <v>17</v>
      </c>
      <c r="E693" s="15">
        <v>13</v>
      </c>
      <c r="F693" s="15">
        <v>38418</v>
      </c>
      <c r="G693" s="16">
        <f>'Data File'!$F693*'Data File'!$E693</f>
        <v>499434</v>
      </c>
    </row>
    <row r="694" spans="1:7" x14ac:dyDescent="0.35">
      <c r="A694" s="11">
        <v>45179.140138888892</v>
      </c>
      <c r="B694" s="12" t="s">
        <v>13</v>
      </c>
      <c r="C694" s="12" t="s">
        <v>21</v>
      </c>
      <c r="D694" s="12" t="s">
        <v>15</v>
      </c>
      <c r="E694" s="12">
        <v>8</v>
      </c>
      <c r="F694" s="12">
        <v>10741</v>
      </c>
      <c r="G694" s="13">
        <f>'Data File'!$F694*'Data File'!$E694</f>
        <v>85928</v>
      </c>
    </row>
    <row r="695" spans="1:7" x14ac:dyDescent="0.35">
      <c r="A695" s="14">
        <v>45179.504502314812</v>
      </c>
      <c r="B695" s="15" t="s">
        <v>7</v>
      </c>
      <c r="C695" s="15" t="s">
        <v>10</v>
      </c>
      <c r="D695" s="15" t="s">
        <v>16</v>
      </c>
      <c r="E695" s="15">
        <v>8</v>
      </c>
      <c r="F695" s="15">
        <v>73798</v>
      </c>
      <c r="G695" s="16">
        <f>'Data File'!$F695*'Data File'!$E695</f>
        <v>590384</v>
      </c>
    </row>
    <row r="696" spans="1:7" x14ac:dyDescent="0.35">
      <c r="A696" s="11">
        <v>45179.86886574074</v>
      </c>
      <c r="B696" s="12" t="s">
        <v>12</v>
      </c>
      <c r="C696" s="12" t="s">
        <v>9</v>
      </c>
      <c r="D696" s="12" t="s">
        <v>17</v>
      </c>
      <c r="E696" s="12">
        <v>5</v>
      </c>
      <c r="F696" s="12">
        <v>27164</v>
      </c>
      <c r="G696" s="13">
        <f>'Data File'!$F696*'Data File'!$E696</f>
        <v>135820</v>
      </c>
    </row>
    <row r="697" spans="1:7" x14ac:dyDescent="0.35">
      <c r="A697" s="14">
        <v>45180.233229166668</v>
      </c>
      <c r="B697" s="15" t="s">
        <v>7</v>
      </c>
      <c r="C697" s="15" t="s">
        <v>8</v>
      </c>
      <c r="D697" s="15" t="s">
        <v>17</v>
      </c>
      <c r="E697" s="15">
        <v>9</v>
      </c>
      <c r="F697" s="15">
        <v>40595</v>
      </c>
      <c r="G697" s="16">
        <f>'Data File'!$F697*'Data File'!$E697</f>
        <v>365355</v>
      </c>
    </row>
    <row r="698" spans="1:7" x14ac:dyDescent="0.35">
      <c r="A698" s="11">
        <v>45180.597592592596</v>
      </c>
      <c r="B698" s="12" t="s">
        <v>6</v>
      </c>
      <c r="C698" s="12" t="s">
        <v>9</v>
      </c>
      <c r="D698" s="12" t="s">
        <v>16</v>
      </c>
      <c r="E698" s="12">
        <v>1</v>
      </c>
      <c r="F698" s="12">
        <v>35257</v>
      </c>
      <c r="G698" s="13">
        <f>'Data File'!$F698*'Data File'!$E698</f>
        <v>35257</v>
      </c>
    </row>
    <row r="699" spans="1:7" x14ac:dyDescent="0.35">
      <c r="A699" s="14">
        <v>45180.961967592593</v>
      </c>
      <c r="B699" s="15" t="s">
        <v>12</v>
      </c>
      <c r="C699" s="15" t="s">
        <v>9</v>
      </c>
      <c r="D699" s="15" t="s">
        <v>19</v>
      </c>
      <c r="E699" s="15">
        <v>4</v>
      </c>
      <c r="F699" s="15">
        <v>19211</v>
      </c>
      <c r="G699" s="16">
        <f>'Data File'!$F699*'Data File'!$E699</f>
        <v>76844</v>
      </c>
    </row>
    <row r="700" spans="1:7" x14ac:dyDescent="0.35">
      <c r="A700" s="11">
        <v>45181.326331018521</v>
      </c>
      <c r="B700" s="12" t="s">
        <v>12</v>
      </c>
      <c r="C700" s="12" t="s">
        <v>10</v>
      </c>
      <c r="D700" s="12" t="s">
        <v>19</v>
      </c>
      <c r="E700" s="12">
        <v>3</v>
      </c>
      <c r="F700" s="12">
        <v>10232</v>
      </c>
      <c r="G700" s="13">
        <f>'Data File'!$F700*'Data File'!$E700</f>
        <v>30696</v>
      </c>
    </row>
    <row r="701" spans="1:7" x14ac:dyDescent="0.35">
      <c r="A701" s="14">
        <v>45181.690694444442</v>
      </c>
      <c r="B701" s="15" t="s">
        <v>6</v>
      </c>
      <c r="C701" s="15" t="s">
        <v>8</v>
      </c>
      <c r="D701" s="15" t="s">
        <v>16</v>
      </c>
      <c r="E701" s="15">
        <v>2</v>
      </c>
      <c r="F701" s="15">
        <v>72753</v>
      </c>
      <c r="G701" s="16">
        <f>'Data File'!$F701*'Data File'!$E701</f>
        <v>145506</v>
      </c>
    </row>
    <row r="702" spans="1:7" x14ac:dyDescent="0.35">
      <c r="A702" s="11">
        <v>45182.05505787037</v>
      </c>
      <c r="B702" s="12" t="s">
        <v>12</v>
      </c>
      <c r="C702" s="12" t="s">
        <v>10</v>
      </c>
      <c r="D702" s="12" t="s">
        <v>14</v>
      </c>
      <c r="E702" s="12">
        <v>8</v>
      </c>
      <c r="F702" s="12">
        <v>57691</v>
      </c>
      <c r="G702" s="13">
        <f>'Data File'!$F702*'Data File'!$E702</f>
        <v>461528</v>
      </c>
    </row>
    <row r="703" spans="1:7" x14ac:dyDescent="0.35">
      <c r="A703" s="14">
        <v>45182.419421296298</v>
      </c>
      <c r="B703" s="15" t="s">
        <v>7</v>
      </c>
      <c r="C703" s="15" t="s">
        <v>8</v>
      </c>
      <c r="D703" s="15" t="s">
        <v>16</v>
      </c>
      <c r="E703" s="15">
        <v>9</v>
      </c>
      <c r="F703" s="15">
        <v>30613</v>
      </c>
      <c r="G703" s="16">
        <f>'Data File'!$F703*'Data File'!$E703</f>
        <v>275517</v>
      </c>
    </row>
    <row r="704" spans="1:7" x14ac:dyDescent="0.35">
      <c r="A704" s="11">
        <v>45182.783784722225</v>
      </c>
      <c r="B704" s="12" t="s">
        <v>13</v>
      </c>
      <c r="C704" s="12" t="s">
        <v>11</v>
      </c>
      <c r="D704" s="12" t="s">
        <v>16</v>
      </c>
      <c r="E704" s="12">
        <v>2</v>
      </c>
      <c r="F704" s="12">
        <v>19026</v>
      </c>
      <c r="G704" s="13">
        <f>'Data File'!$F704*'Data File'!$E704</f>
        <v>38052</v>
      </c>
    </row>
    <row r="705" spans="1:7" x14ac:dyDescent="0.35">
      <c r="A705" s="14">
        <v>45183.148148148146</v>
      </c>
      <c r="B705" s="15" t="s">
        <v>7</v>
      </c>
      <c r="C705" s="15" t="s">
        <v>8</v>
      </c>
      <c r="D705" s="15" t="s">
        <v>19</v>
      </c>
      <c r="E705" s="15">
        <v>14</v>
      </c>
      <c r="F705" s="15">
        <v>58535</v>
      </c>
      <c r="G705" s="16">
        <f>'Data File'!$F705*'Data File'!$E705</f>
        <v>819490</v>
      </c>
    </row>
    <row r="706" spans="1:7" x14ac:dyDescent="0.35">
      <c r="A706" s="11">
        <v>45183.512511574074</v>
      </c>
      <c r="B706" s="12" t="s">
        <v>13</v>
      </c>
      <c r="C706" s="12" t="s">
        <v>10</v>
      </c>
      <c r="D706" s="12" t="s">
        <v>19</v>
      </c>
      <c r="E706" s="12">
        <v>14</v>
      </c>
      <c r="F706" s="12">
        <v>35908</v>
      </c>
      <c r="G706" s="13">
        <f>'Data File'!$F706*'Data File'!$E706</f>
        <v>502712</v>
      </c>
    </row>
    <row r="707" spans="1:7" x14ac:dyDescent="0.35">
      <c r="A707" s="14">
        <v>45183.876875000002</v>
      </c>
      <c r="B707" s="15" t="s">
        <v>13</v>
      </c>
      <c r="C707" s="15" t="s">
        <v>9</v>
      </c>
      <c r="D707" s="15" t="s">
        <v>16</v>
      </c>
      <c r="E707" s="15">
        <v>4</v>
      </c>
      <c r="F707" s="15">
        <v>57113</v>
      </c>
      <c r="G707" s="16">
        <f>'Data File'!$F707*'Data File'!$E707</f>
        <v>228452</v>
      </c>
    </row>
    <row r="708" spans="1:7" x14ac:dyDescent="0.35">
      <c r="A708" s="11">
        <v>45184.241238425922</v>
      </c>
      <c r="B708" s="12" t="s">
        <v>7</v>
      </c>
      <c r="C708" s="12" t="s">
        <v>8</v>
      </c>
      <c r="D708" s="12" t="s">
        <v>16</v>
      </c>
      <c r="E708" s="12">
        <v>6</v>
      </c>
      <c r="F708" s="12">
        <v>24610</v>
      </c>
      <c r="G708" s="13">
        <f>'Data File'!$F708*'Data File'!$E708</f>
        <v>147660</v>
      </c>
    </row>
    <row r="709" spans="1:7" x14ac:dyDescent="0.35">
      <c r="A709" s="14">
        <v>45184.60560185185</v>
      </c>
      <c r="B709" s="15" t="s">
        <v>7</v>
      </c>
      <c r="C709" s="15" t="s">
        <v>8</v>
      </c>
      <c r="D709" s="15" t="s">
        <v>16</v>
      </c>
      <c r="E709" s="15">
        <v>11</v>
      </c>
      <c r="F709" s="15">
        <v>51646</v>
      </c>
      <c r="G709" s="16">
        <f>'Data File'!$F709*'Data File'!$E709</f>
        <v>568106</v>
      </c>
    </row>
    <row r="710" spans="1:7" x14ac:dyDescent="0.35">
      <c r="A710" s="11">
        <v>45184.969965277778</v>
      </c>
      <c r="B710" s="12" t="s">
        <v>7</v>
      </c>
      <c r="C710" s="12" t="s">
        <v>21</v>
      </c>
      <c r="D710" s="12" t="s">
        <v>19</v>
      </c>
      <c r="E710" s="12">
        <v>3</v>
      </c>
      <c r="F710" s="12">
        <v>68185</v>
      </c>
      <c r="G710" s="13">
        <f>'Data File'!$F710*'Data File'!$E710</f>
        <v>204555</v>
      </c>
    </row>
    <row r="711" spans="1:7" x14ac:dyDescent="0.35">
      <c r="A711" s="14">
        <v>45185.334328703706</v>
      </c>
      <c r="B711" s="15" t="s">
        <v>7</v>
      </c>
      <c r="C711" s="15" t="s">
        <v>9</v>
      </c>
      <c r="D711" s="15" t="s">
        <v>16</v>
      </c>
      <c r="E711" s="15">
        <v>8</v>
      </c>
      <c r="F711" s="15">
        <v>52574</v>
      </c>
      <c r="G711" s="16">
        <f>'Data File'!$F711*'Data File'!$E711</f>
        <v>420592</v>
      </c>
    </row>
    <row r="712" spans="1:7" x14ac:dyDescent="0.35">
      <c r="A712" s="11">
        <v>45185.698703703703</v>
      </c>
      <c r="B712" s="12" t="s">
        <v>6</v>
      </c>
      <c r="C712" s="12" t="s">
        <v>11</v>
      </c>
      <c r="D712" s="12" t="s">
        <v>16</v>
      </c>
      <c r="E712" s="12">
        <v>3</v>
      </c>
      <c r="F712" s="12">
        <v>41182</v>
      </c>
      <c r="G712" s="13">
        <f>'Data File'!$F712*'Data File'!$E712</f>
        <v>123546</v>
      </c>
    </row>
    <row r="713" spans="1:7" x14ac:dyDescent="0.35">
      <c r="A713" s="14">
        <v>45186.063067129631</v>
      </c>
      <c r="B713" s="15" t="s">
        <v>12</v>
      </c>
      <c r="C713" s="15" t="s">
        <v>10</v>
      </c>
      <c r="D713" s="15" t="s">
        <v>18</v>
      </c>
      <c r="E713" s="15">
        <v>14</v>
      </c>
      <c r="F713" s="15">
        <v>5570</v>
      </c>
      <c r="G713" s="16">
        <f>'Data File'!$F713*'Data File'!$E713</f>
        <v>77980</v>
      </c>
    </row>
    <row r="714" spans="1:7" x14ac:dyDescent="0.35">
      <c r="A714" s="11">
        <v>45186.427430555559</v>
      </c>
      <c r="B714" s="12" t="s">
        <v>13</v>
      </c>
      <c r="C714" s="12" t="s">
        <v>11</v>
      </c>
      <c r="D714" s="12" t="s">
        <v>14</v>
      </c>
      <c r="E714" s="12">
        <v>13</v>
      </c>
      <c r="F714" s="12">
        <v>24288</v>
      </c>
      <c r="G714" s="13">
        <f>'Data File'!$F714*'Data File'!$E714</f>
        <v>315744</v>
      </c>
    </row>
    <row r="715" spans="1:7" x14ac:dyDescent="0.35">
      <c r="A715" s="14">
        <v>45186.79179398148</v>
      </c>
      <c r="B715" s="15" t="s">
        <v>7</v>
      </c>
      <c r="C715" s="15" t="s">
        <v>9</v>
      </c>
      <c r="D715" s="15" t="s">
        <v>15</v>
      </c>
      <c r="E715" s="15">
        <v>13</v>
      </c>
      <c r="F715" s="15">
        <v>34877</v>
      </c>
      <c r="G715" s="16">
        <f>'Data File'!$F715*'Data File'!$E715</f>
        <v>453401</v>
      </c>
    </row>
    <row r="716" spans="1:7" x14ac:dyDescent="0.35">
      <c r="A716" s="11">
        <v>45187.156157407408</v>
      </c>
      <c r="B716" s="12" t="s">
        <v>7</v>
      </c>
      <c r="C716" s="12" t="s">
        <v>8</v>
      </c>
      <c r="D716" s="12" t="s">
        <v>14</v>
      </c>
      <c r="E716" s="12">
        <v>2</v>
      </c>
      <c r="F716" s="12">
        <v>5917</v>
      </c>
      <c r="G716" s="13">
        <f>'Data File'!$F716*'Data File'!$E716</f>
        <v>11834</v>
      </c>
    </row>
    <row r="717" spans="1:7" x14ac:dyDescent="0.35">
      <c r="A717" s="14">
        <v>45187.520520833335</v>
      </c>
      <c r="B717" s="15" t="s">
        <v>7</v>
      </c>
      <c r="C717" s="15" t="s">
        <v>8</v>
      </c>
      <c r="D717" s="15" t="s">
        <v>18</v>
      </c>
      <c r="E717" s="15">
        <v>13</v>
      </c>
      <c r="F717" s="15">
        <v>69575</v>
      </c>
      <c r="G717" s="16">
        <f>'Data File'!$F717*'Data File'!$E717</f>
        <v>904475</v>
      </c>
    </row>
    <row r="718" spans="1:7" x14ac:dyDescent="0.35">
      <c r="A718" s="11">
        <v>45187.884884259256</v>
      </c>
      <c r="B718" s="12" t="s">
        <v>6</v>
      </c>
      <c r="C718" s="12" t="s">
        <v>9</v>
      </c>
      <c r="D718" s="12" t="s">
        <v>15</v>
      </c>
      <c r="E718" s="12">
        <v>19</v>
      </c>
      <c r="F718" s="12">
        <v>44104</v>
      </c>
      <c r="G718" s="13">
        <f>'Data File'!$F718*'Data File'!$E718</f>
        <v>837976</v>
      </c>
    </row>
    <row r="719" spans="1:7" x14ac:dyDescent="0.35">
      <c r="A719" s="14">
        <v>45188.249247685184</v>
      </c>
      <c r="B719" s="15" t="s">
        <v>7</v>
      </c>
      <c r="C719" s="15" t="s">
        <v>8</v>
      </c>
      <c r="D719" s="15" t="s">
        <v>16</v>
      </c>
      <c r="E719" s="15">
        <v>6</v>
      </c>
      <c r="F719" s="15">
        <v>23062</v>
      </c>
      <c r="G719" s="16">
        <f>'Data File'!$F719*'Data File'!$E719</f>
        <v>138372</v>
      </c>
    </row>
    <row r="720" spans="1:7" x14ac:dyDescent="0.35">
      <c r="A720" s="11">
        <v>45188.613611111112</v>
      </c>
      <c r="B720" s="12" t="s">
        <v>7</v>
      </c>
      <c r="C720" s="12" t="s">
        <v>8</v>
      </c>
      <c r="D720" s="12" t="s">
        <v>18</v>
      </c>
      <c r="E720" s="12">
        <v>16</v>
      </c>
      <c r="F720" s="12">
        <v>21999</v>
      </c>
      <c r="G720" s="13">
        <f>'Data File'!$F720*'Data File'!$E720</f>
        <v>351984</v>
      </c>
    </row>
    <row r="721" spans="1:7" x14ac:dyDescent="0.35">
      <c r="A721" s="14">
        <v>45188.97797453704</v>
      </c>
      <c r="B721" s="15" t="s">
        <v>7</v>
      </c>
      <c r="C721" s="15" t="s">
        <v>8</v>
      </c>
      <c r="D721" s="15" t="s">
        <v>16</v>
      </c>
      <c r="E721" s="15">
        <v>2</v>
      </c>
      <c r="F721" s="15">
        <v>66845</v>
      </c>
      <c r="G721" s="16">
        <f>'Data File'!$F721*'Data File'!$E721</f>
        <v>133690</v>
      </c>
    </row>
    <row r="722" spans="1:7" x14ac:dyDescent="0.35">
      <c r="A722" s="11">
        <v>45189.34233796296</v>
      </c>
      <c r="B722" s="12" t="s">
        <v>12</v>
      </c>
      <c r="C722" s="12" t="s">
        <v>10</v>
      </c>
      <c r="D722" s="12" t="s">
        <v>19</v>
      </c>
      <c r="E722" s="12">
        <v>8</v>
      </c>
      <c r="F722" s="12">
        <v>14941</v>
      </c>
      <c r="G722" s="13">
        <f>'Data File'!$F722*'Data File'!$E722</f>
        <v>119528</v>
      </c>
    </row>
    <row r="723" spans="1:7" x14ac:dyDescent="0.35">
      <c r="A723" s="14">
        <v>45189.706701388888</v>
      </c>
      <c r="B723" s="15" t="s">
        <v>6</v>
      </c>
      <c r="C723" s="15" t="s">
        <v>10</v>
      </c>
      <c r="D723" s="15" t="s">
        <v>17</v>
      </c>
      <c r="E723" s="15">
        <v>17</v>
      </c>
      <c r="F723" s="15">
        <v>66169</v>
      </c>
      <c r="G723" s="16">
        <f>'Data File'!$F723*'Data File'!$E723</f>
        <v>1124873</v>
      </c>
    </row>
    <row r="724" spans="1:7" x14ac:dyDescent="0.35">
      <c r="A724" s="11">
        <v>45190.071076388886</v>
      </c>
      <c r="B724" s="12" t="s">
        <v>7</v>
      </c>
      <c r="C724" s="12" t="s">
        <v>21</v>
      </c>
      <c r="D724" s="12" t="s">
        <v>18</v>
      </c>
      <c r="E724" s="12">
        <v>2</v>
      </c>
      <c r="F724" s="12">
        <v>28470</v>
      </c>
      <c r="G724" s="13">
        <f>'Data File'!$F724*'Data File'!$E724</f>
        <v>56940</v>
      </c>
    </row>
    <row r="725" spans="1:7" x14ac:dyDescent="0.35">
      <c r="A725" s="14">
        <v>45190.435439814813</v>
      </c>
      <c r="B725" s="15" t="s">
        <v>13</v>
      </c>
      <c r="C725" s="15" t="s">
        <v>11</v>
      </c>
      <c r="D725" s="15" t="s">
        <v>19</v>
      </c>
      <c r="E725" s="15">
        <v>10</v>
      </c>
      <c r="F725" s="15">
        <v>64821</v>
      </c>
      <c r="G725" s="16">
        <f>'Data File'!$F725*'Data File'!$E725</f>
        <v>648210</v>
      </c>
    </row>
    <row r="726" spans="1:7" x14ac:dyDescent="0.35">
      <c r="A726" s="11">
        <v>45190.799803240741</v>
      </c>
      <c r="B726" s="12" t="s">
        <v>13</v>
      </c>
      <c r="C726" s="12" t="s">
        <v>9</v>
      </c>
      <c r="D726" s="12" t="s">
        <v>18</v>
      </c>
      <c r="E726" s="12">
        <v>16</v>
      </c>
      <c r="F726" s="12">
        <v>49435</v>
      </c>
      <c r="G726" s="13">
        <f>'Data File'!$F726*'Data File'!$E726</f>
        <v>790960</v>
      </c>
    </row>
    <row r="727" spans="1:7" x14ac:dyDescent="0.35">
      <c r="A727" s="14">
        <v>45191.164166666669</v>
      </c>
      <c r="B727" s="15" t="s">
        <v>13</v>
      </c>
      <c r="C727" s="15" t="s">
        <v>9</v>
      </c>
      <c r="D727" s="15" t="s">
        <v>18</v>
      </c>
      <c r="E727" s="15">
        <v>6</v>
      </c>
      <c r="F727" s="15">
        <v>9529</v>
      </c>
      <c r="G727" s="16">
        <f>'Data File'!$F727*'Data File'!$E727</f>
        <v>57174</v>
      </c>
    </row>
    <row r="728" spans="1:7" x14ac:dyDescent="0.35">
      <c r="A728" s="11">
        <v>45191.52853009259</v>
      </c>
      <c r="B728" s="12" t="s">
        <v>6</v>
      </c>
      <c r="C728" s="12" t="s">
        <v>9</v>
      </c>
      <c r="D728" s="12" t="s">
        <v>19</v>
      </c>
      <c r="E728" s="12">
        <v>2</v>
      </c>
      <c r="F728" s="12">
        <v>17192</v>
      </c>
      <c r="G728" s="13">
        <f>'Data File'!$F728*'Data File'!$E728</f>
        <v>34384</v>
      </c>
    </row>
    <row r="729" spans="1:7" x14ac:dyDescent="0.35">
      <c r="A729" s="14">
        <v>45191.892893518518</v>
      </c>
      <c r="B729" s="15" t="s">
        <v>6</v>
      </c>
      <c r="C729" s="15" t="s">
        <v>21</v>
      </c>
      <c r="D729" s="15" t="s">
        <v>15</v>
      </c>
      <c r="E729" s="15">
        <v>2</v>
      </c>
      <c r="F729" s="15">
        <v>39087</v>
      </c>
      <c r="G729" s="16">
        <f>'Data File'!$F729*'Data File'!$E729</f>
        <v>78174</v>
      </c>
    </row>
    <row r="730" spans="1:7" x14ac:dyDescent="0.35">
      <c r="A730" s="11">
        <v>45192.257256944446</v>
      </c>
      <c r="B730" s="12" t="s">
        <v>13</v>
      </c>
      <c r="C730" s="12" t="s">
        <v>10</v>
      </c>
      <c r="D730" s="12" t="s">
        <v>14</v>
      </c>
      <c r="E730" s="12">
        <v>13</v>
      </c>
      <c r="F730" s="12">
        <v>71677</v>
      </c>
      <c r="G730" s="13">
        <f>'Data File'!$F730*'Data File'!$E730</f>
        <v>931801</v>
      </c>
    </row>
    <row r="731" spans="1:7" x14ac:dyDescent="0.35">
      <c r="A731" s="14">
        <v>45192.621620370373</v>
      </c>
      <c r="B731" s="15" t="s">
        <v>7</v>
      </c>
      <c r="C731" s="15" t="s">
        <v>21</v>
      </c>
      <c r="D731" s="15" t="s">
        <v>16</v>
      </c>
      <c r="E731" s="15">
        <v>15</v>
      </c>
      <c r="F731" s="15">
        <v>9627</v>
      </c>
      <c r="G731" s="16">
        <f>'Data File'!$F731*'Data File'!$E731</f>
        <v>144405</v>
      </c>
    </row>
    <row r="732" spans="1:7" x14ac:dyDescent="0.35">
      <c r="A732" s="11">
        <v>45192.985983796294</v>
      </c>
      <c r="B732" s="12" t="s">
        <v>6</v>
      </c>
      <c r="C732" s="12" t="s">
        <v>9</v>
      </c>
      <c r="D732" s="12" t="s">
        <v>18</v>
      </c>
      <c r="E732" s="12">
        <v>2</v>
      </c>
      <c r="F732" s="12">
        <v>61541</v>
      </c>
      <c r="G732" s="13">
        <f>'Data File'!$F732*'Data File'!$E732</f>
        <v>123082</v>
      </c>
    </row>
    <row r="733" spans="1:7" x14ac:dyDescent="0.35">
      <c r="A733" s="14">
        <v>45193.350347222222</v>
      </c>
      <c r="B733" s="15" t="s">
        <v>13</v>
      </c>
      <c r="C733" s="15" t="s">
        <v>11</v>
      </c>
      <c r="D733" s="15" t="s">
        <v>16</v>
      </c>
      <c r="E733" s="15">
        <v>7</v>
      </c>
      <c r="F733" s="15">
        <v>73226</v>
      </c>
      <c r="G733" s="16">
        <f>'Data File'!$F733*'Data File'!$E733</f>
        <v>512582</v>
      </c>
    </row>
    <row r="734" spans="1:7" x14ac:dyDescent="0.35">
      <c r="A734" s="11">
        <v>45193.71471064815</v>
      </c>
      <c r="B734" s="12" t="s">
        <v>13</v>
      </c>
      <c r="C734" s="12" t="s">
        <v>8</v>
      </c>
      <c r="D734" s="12" t="s">
        <v>17</v>
      </c>
      <c r="E734" s="12">
        <v>3</v>
      </c>
      <c r="F734" s="12">
        <v>8255</v>
      </c>
      <c r="G734" s="13">
        <f>'Data File'!$F734*'Data File'!$E734</f>
        <v>24765</v>
      </c>
    </row>
    <row r="735" spans="1:7" x14ac:dyDescent="0.35">
      <c r="A735" s="14">
        <v>45194.079074074078</v>
      </c>
      <c r="B735" s="15" t="s">
        <v>7</v>
      </c>
      <c r="C735" s="15" t="s">
        <v>10</v>
      </c>
      <c r="D735" s="15" t="s">
        <v>19</v>
      </c>
      <c r="E735" s="15">
        <v>8</v>
      </c>
      <c r="F735" s="15">
        <v>62433</v>
      </c>
      <c r="G735" s="16">
        <f>'Data File'!$F735*'Data File'!$E735</f>
        <v>499464</v>
      </c>
    </row>
    <row r="736" spans="1:7" x14ac:dyDescent="0.35">
      <c r="A736" s="11">
        <v>45194.443449074075</v>
      </c>
      <c r="B736" s="12" t="s">
        <v>12</v>
      </c>
      <c r="C736" s="12" t="s">
        <v>10</v>
      </c>
      <c r="D736" s="12" t="s">
        <v>16</v>
      </c>
      <c r="E736" s="12">
        <v>14</v>
      </c>
      <c r="F736" s="12">
        <v>10213</v>
      </c>
      <c r="G736" s="13">
        <f>'Data File'!$F736*'Data File'!$E736</f>
        <v>142982</v>
      </c>
    </row>
    <row r="737" spans="1:7" x14ac:dyDescent="0.35">
      <c r="A737" s="14">
        <v>45194.807812500003</v>
      </c>
      <c r="B737" s="15" t="s">
        <v>6</v>
      </c>
      <c r="C737" s="15" t="s">
        <v>21</v>
      </c>
      <c r="D737" s="15" t="s">
        <v>19</v>
      </c>
      <c r="E737" s="15">
        <v>7</v>
      </c>
      <c r="F737" s="15">
        <v>24404</v>
      </c>
      <c r="G737" s="16">
        <f>'Data File'!$F737*'Data File'!$E737</f>
        <v>170828</v>
      </c>
    </row>
    <row r="738" spans="1:7" x14ac:dyDescent="0.35">
      <c r="A738" s="11">
        <v>45195.172175925924</v>
      </c>
      <c r="B738" s="12" t="s">
        <v>7</v>
      </c>
      <c r="C738" s="12" t="s">
        <v>10</v>
      </c>
      <c r="D738" s="12" t="s">
        <v>16</v>
      </c>
      <c r="E738" s="12">
        <v>7</v>
      </c>
      <c r="F738" s="12">
        <v>30380</v>
      </c>
      <c r="G738" s="13">
        <f>'Data File'!$F738*'Data File'!$E738</f>
        <v>212660</v>
      </c>
    </row>
    <row r="739" spans="1:7" x14ac:dyDescent="0.35">
      <c r="A739" s="14">
        <v>45195.536539351851</v>
      </c>
      <c r="B739" s="15" t="s">
        <v>13</v>
      </c>
      <c r="C739" s="15" t="s">
        <v>9</v>
      </c>
      <c r="D739" s="15" t="s">
        <v>14</v>
      </c>
      <c r="E739" s="15">
        <v>1</v>
      </c>
      <c r="F739" s="15">
        <v>24173</v>
      </c>
      <c r="G739" s="16">
        <f>'Data File'!$F739*'Data File'!$E739</f>
        <v>24173</v>
      </c>
    </row>
    <row r="740" spans="1:7" x14ac:dyDescent="0.35">
      <c r="A740" s="11">
        <v>45195.900902777779</v>
      </c>
      <c r="B740" s="12" t="s">
        <v>13</v>
      </c>
      <c r="C740" s="12" t="s">
        <v>9</v>
      </c>
      <c r="D740" s="12" t="s">
        <v>14</v>
      </c>
      <c r="E740" s="12">
        <v>17</v>
      </c>
      <c r="F740" s="12">
        <v>58027</v>
      </c>
      <c r="G740" s="13">
        <f>'Data File'!$F740*'Data File'!$E740</f>
        <v>986459</v>
      </c>
    </row>
    <row r="741" spans="1:7" x14ac:dyDescent="0.35">
      <c r="A741" s="14">
        <v>45196.265266203707</v>
      </c>
      <c r="B741" s="15" t="s">
        <v>7</v>
      </c>
      <c r="C741" s="15" t="s">
        <v>21</v>
      </c>
      <c r="D741" s="15" t="s">
        <v>14</v>
      </c>
      <c r="E741" s="15">
        <v>9</v>
      </c>
      <c r="F741" s="15">
        <v>28989</v>
      </c>
      <c r="G741" s="16">
        <f>'Data File'!$F741*'Data File'!$E741</f>
        <v>260901</v>
      </c>
    </row>
    <row r="742" spans="1:7" x14ac:dyDescent="0.35">
      <c r="A742" s="11">
        <v>45196.629629629628</v>
      </c>
      <c r="B742" s="12" t="s">
        <v>6</v>
      </c>
      <c r="C742" s="12" t="s">
        <v>9</v>
      </c>
      <c r="D742" s="12" t="s">
        <v>14</v>
      </c>
      <c r="E742" s="12">
        <v>13</v>
      </c>
      <c r="F742" s="12">
        <v>29519</v>
      </c>
      <c r="G742" s="13">
        <f>'Data File'!$F742*'Data File'!$E742</f>
        <v>383747</v>
      </c>
    </row>
    <row r="743" spans="1:7" x14ac:dyDescent="0.35">
      <c r="A743" s="14">
        <v>45196.993993055556</v>
      </c>
      <c r="B743" s="15" t="s">
        <v>12</v>
      </c>
      <c r="C743" s="15" t="s">
        <v>11</v>
      </c>
      <c r="D743" s="15" t="s">
        <v>14</v>
      </c>
      <c r="E743" s="15">
        <v>19</v>
      </c>
      <c r="F743" s="15">
        <v>27439</v>
      </c>
      <c r="G743" s="16">
        <f>'Data File'!$F743*'Data File'!$E743</f>
        <v>521341</v>
      </c>
    </row>
    <row r="744" spans="1:7" x14ac:dyDescent="0.35">
      <c r="A744" s="11">
        <v>45197.358356481483</v>
      </c>
      <c r="B744" s="12" t="s">
        <v>12</v>
      </c>
      <c r="C744" s="12" t="s">
        <v>21</v>
      </c>
      <c r="D744" s="12" t="s">
        <v>14</v>
      </c>
      <c r="E744" s="12">
        <v>19</v>
      </c>
      <c r="F744" s="12">
        <v>19995</v>
      </c>
      <c r="G744" s="13">
        <f>'Data File'!$F744*'Data File'!$E744</f>
        <v>379905</v>
      </c>
    </row>
    <row r="745" spans="1:7" x14ac:dyDescent="0.35">
      <c r="A745" s="14">
        <v>45197.722719907404</v>
      </c>
      <c r="B745" s="15" t="s">
        <v>13</v>
      </c>
      <c r="C745" s="15" t="s">
        <v>11</v>
      </c>
      <c r="D745" s="15" t="s">
        <v>19</v>
      </c>
      <c r="E745" s="15">
        <v>17</v>
      </c>
      <c r="F745" s="15">
        <v>28559</v>
      </c>
      <c r="G745" s="16">
        <f>'Data File'!$F745*'Data File'!$E745</f>
        <v>485503</v>
      </c>
    </row>
    <row r="746" spans="1:7" x14ac:dyDescent="0.35">
      <c r="A746" s="11">
        <v>45198.087083333332</v>
      </c>
      <c r="B746" s="12" t="s">
        <v>6</v>
      </c>
      <c r="C746" s="12" t="s">
        <v>8</v>
      </c>
      <c r="D746" s="12" t="s">
        <v>18</v>
      </c>
      <c r="E746" s="12">
        <v>10</v>
      </c>
      <c r="F746" s="12">
        <v>10021</v>
      </c>
      <c r="G746" s="13">
        <f>'Data File'!$F746*'Data File'!$E746</f>
        <v>100210</v>
      </c>
    </row>
    <row r="747" spans="1:7" x14ac:dyDescent="0.35">
      <c r="A747" s="14">
        <v>45198.45144675926</v>
      </c>
      <c r="B747" s="15" t="s">
        <v>12</v>
      </c>
      <c r="C747" s="15" t="s">
        <v>11</v>
      </c>
      <c r="D747" s="15" t="s">
        <v>16</v>
      </c>
      <c r="E747" s="15">
        <v>10</v>
      </c>
      <c r="F747" s="15">
        <v>26119</v>
      </c>
      <c r="G747" s="16">
        <f>'Data File'!$F747*'Data File'!$E747</f>
        <v>261190</v>
      </c>
    </row>
    <row r="748" spans="1:7" x14ac:dyDescent="0.35">
      <c r="A748" s="11">
        <v>45198.815810185188</v>
      </c>
      <c r="B748" s="12" t="s">
        <v>6</v>
      </c>
      <c r="C748" s="12" t="s">
        <v>8</v>
      </c>
      <c r="D748" s="12" t="s">
        <v>14</v>
      </c>
      <c r="E748" s="12">
        <v>4</v>
      </c>
      <c r="F748" s="12">
        <v>56539</v>
      </c>
      <c r="G748" s="13">
        <f>'Data File'!$F748*'Data File'!$E748</f>
        <v>226156</v>
      </c>
    </row>
    <row r="749" spans="1:7" x14ac:dyDescent="0.35">
      <c r="A749" s="14">
        <v>45199.180185185185</v>
      </c>
      <c r="B749" s="15" t="s">
        <v>6</v>
      </c>
      <c r="C749" s="15" t="s">
        <v>8</v>
      </c>
      <c r="D749" s="15" t="s">
        <v>19</v>
      </c>
      <c r="E749" s="15">
        <v>8</v>
      </c>
      <c r="F749" s="15">
        <v>44350</v>
      </c>
      <c r="G749" s="16">
        <f>'Data File'!$F749*'Data File'!$E749</f>
        <v>354800</v>
      </c>
    </row>
    <row r="750" spans="1:7" x14ac:dyDescent="0.35">
      <c r="A750" s="11">
        <v>45199.544548611113</v>
      </c>
      <c r="B750" s="12" t="s">
        <v>13</v>
      </c>
      <c r="C750" s="12" t="s">
        <v>11</v>
      </c>
      <c r="D750" s="12" t="s">
        <v>19</v>
      </c>
      <c r="E750" s="12">
        <v>18</v>
      </c>
      <c r="F750" s="12">
        <v>51223</v>
      </c>
      <c r="G750" s="13">
        <f>'Data File'!$F750*'Data File'!$E750</f>
        <v>922014</v>
      </c>
    </row>
    <row r="751" spans="1:7" x14ac:dyDescent="0.35">
      <c r="A751" s="14">
        <v>45199.908912037034</v>
      </c>
      <c r="B751" s="15" t="s">
        <v>12</v>
      </c>
      <c r="C751" s="15" t="s">
        <v>21</v>
      </c>
      <c r="D751" s="15" t="s">
        <v>19</v>
      </c>
      <c r="E751" s="15">
        <v>14</v>
      </c>
      <c r="F751" s="15">
        <v>30517</v>
      </c>
      <c r="G751" s="16">
        <f>'Data File'!$F751*'Data File'!$E751</f>
        <v>427238</v>
      </c>
    </row>
    <row r="752" spans="1:7" x14ac:dyDescent="0.35">
      <c r="A752" s="11">
        <v>45200.273275462961</v>
      </c>
      <c r="B752" s="12" t="s">
        <v>7</v>
      </c>
      <c r="C752" s="12" t="s">
        <v>9</v>
      </c>
      <c r="D752" s="12" t="s">
        <v>18</v>
      </c>
      <c r="E752" s="12">
        <v>18</v>
      </c>
      <c r="F752" s="12">
        <v>27250</v>
      </c>
      <c r="G752" s="13">
        <f>'Data File'!$F752*'Data File'!$E752</f>
        <v>490500</v>
      </c>
    </row>
    <row r="753" spans="1:7" x14ac:dyDescent="0.35">
      <c r="A753" s="14">
        <v>45200.637638888889</v>
      </c>
      <c r="B753" s="15" t="s">
        <v>13</v>
      </c>
      <c r="C753" s="15" t="s">
        <v>9</v>
      </c>
      <c r="D753" s="15" t="s">
        <v>16</v>
      </c>
      <c r="E753" s="15">
        <v>14</v>
      </c>
      <c r="F753" s="15">
        <v>71798</v>
      </c>
      <c r="G753" s="16">
        <f>'Data File'!$F753*'Data File'!$E753</f>
        <v>1005172</v>
      </c>
    </row>
    <row r="754" spans="1:7" x14ac:dyDescent="0.35">
      <c r="A754" s="11">
        <v>45201.002002314817</v>
      </c>
      <c r="B754" s="12" t="s">
        <v>12</v>
      </c>
      <c r="C754" s="12" t="s">
        <v>8</v>
      </c>
      <c r="D754" s="12" t="s">
        <v>18</v>
      </c>
      <c r="E754" s="12">
        <v>15</v>
      </c>
      <c r="F754" s="12">
        <v>59199</v>
      </c>
      <c r="G754" s="13">
        <f>'Data File'!$F754*'Data File'!$E754</f>
        <v>887985</v>
      </c>
    </row>
    <row r="755" spans="1:7" x14ac:dyDescent="0.35">
      <c r="A755" s="14">
        <v>45201.366365740738</v>
      </c>
      <c r="B755" s="15" t="s">
        <v>12</v>
      </c>
      <c r="C755" s="15" t="s">
        <v>8</v>
      </c>
      <c r="D755" s="15" t="s">
        <v>15</v>
      </c>
      <c r="E755" s="15">
        <v>4</v>
      </c>
      <c r="F755" s="15">
        <v>64546</v>
      </c>
      <c r="G755" s="16">
        <f>'Data File'!$F755*'Data File'!$E755</f>
        <v>258184</v>
      </c>
    </row>
    <row r="756" spans="1:7" x14ac:dyDescent="0.35">
      <c r="A756" s="11">
        <v>45201.730729166666</v>
      </c>
      <c r="B756" s="12" t="s">
        <v>12</v>
      </c>
      <c r="C756" s="12" t="s">
        <v>21</v>
      </c>
      <c r="D756" s="12" t="s">
        <v>19</v>
      </c>
      <c r="E756" s="12">
        <v>13</v>
      </c>
      <c r="F756" s="12">
        <v>8327</v>
      </c>
      <c r="G756" s="13">
        <f>'Data File'!$F756*'Data File'!$E756</f>
        <v>108251</v>
      </c>
    </row>
    <row r="757" spans="1:7" x14ac:dyDescent="0.35">
      <c r="A757" s="14">
        <v>45202.095092592594</v>
      </c>
      <c r="B757" s="15" t="s">
        <v>12</v>
      </c>
      <c r="C757" s="15" t="s">
        <v>10</v>
      </c>
      <c r="D757" s="15" t="s">
        <v>15</v>
      </c>
      <c r="E757" s="15">
        <v>8</v>
      </c>
      <c r="F757" s="15">
        <v>34768</v>
      </c>
      <c r="G757" s="16">
        <f>'Data File'!$F757*'Data File'!$E757</f>
        <v>278144</v>
      </c>
    </row>
    <row r="758" spans="1:7" x14ac:dyDescent="0.35">
      <c r="A758" s="11">
        <v>45202.459456018521</v>
      </c>
      <c r="B758" s="12" t="s">
        <v>12</v>
      </c>
      <c r="C758" s="12" t="s">
        <v>11</v>
      </c>
      <c r="D758" s="12" t="s">
        <v>17</v>
      </c>
      <c r="E758" s="12">
        <v>18</v>
      </c>
      <c r="F758" s="12">
        <v>69418</v>
      </c>
      <c r="G758" s="13">
        <f>'Data File'!$F758*'Data File'!$E758</f>
        <v>1249524</v>
      </c>
    </row>
    <row r="759" spans="1:7" x14ac:dyDescent="0.35">
      <c r="A759" s="14">
        <v>45202.823819444442</v>
      </c>
      <c r="B759" s="15" t="s">
        <v>6</v>
      </c>
      <c r="C759" s="15" t="s">
        <v>8</v>
      </c>
      <c r="D759" s="15" t="s">
        <v>14</v>
      </c>
      <c r="E759" s="15">
        <v>12</v>
      </c>
      <c r="F759" s="15">
        <v>47788</v>
      </c>
      <c r="G759" s="16">
        <f>'Data File'!$F759*'Data File'!$E759</f>
        <v>573456</v>
      </c>
    </row>
    <row r="760" spans="1:7" x14ac:dyDescent="0.35">
      <c r="A760" s="11">
        <v>45203.18818287037</v>
      </c>
      <c r="B760" s="12" t="s">
        <v>13</v>
      </c>
      <c r="C760" s="12" t="s">
        <v>9</v>
      </c>
      <c r="D760" s="12" t="s">
        <v>14</v>
      </c>
      <c r="E760" s="12">
        <v>14</v>
      </c>
      <c r="F760" s="12">
        <v>51830</v>
      </c>
      <c r="G760" s="13">
        <f>'Data File'!$F760*'Data File'!$E760</f>
        <v>725620</v>
      </c>
    </row>
    <row r="761" spans="1:7" x14ac:dyDescent="0.35">
      <c r="A761" s="14">
        <v>45203.552557870367</v>
      </c>
      <c r="B761" s="15" t="s">
        <v>6</v>
      </c>
      <c r="C761" s="15" t="s">
        <v>21</v>
      </c>
      <c r="D761" s="15" t="s">
        <v>18</v>
      </c>
      <c r="E761" s="15">
        <v>2</v>
      </c>
      <c r="F761" s="15">
        <v>57446</v>
      </c>
      <c r="G761" s="16">
        <f>'Data File'!$F761*'Data File'!$E761</f>
        <v>114892</v>
      </c>
    </row>
    <row r="762" spans="1:7" x14ac:dyDescent="0.35">
      <c r="A762" s="11">
        <v>45203.916921296295</v>
      </c>
      <c r="B762" s="12" t="s">
        <v>7</v>
      </c>
      <c r="C762" s="12" t="s">
        <v>11</v>
      </c>
      <c r="D762" s="12" t="s">
        <v>16</v>
      </c>
      <c r="E762" s="12">
        <v>18</v>
      </c>
      <c r="F762" s="12">
        <v>20160</v>
      </c>
      <c r="G762" s="13">
        <f>'Data File'!$F762*'Data File'!$E762</f>
        <v>362880</v>
      </c>
    </row>
    <row r="763" spans="1:7" x14ac:dyDescent="0.35">
      <c r="A763" s="14">
        <v>45204.281284722223</v>
      </c>
      <c r="B763" s="15" t="s">
        <v>12</v>
      </c>
      <c r="C763" s="15" t="s">
        <v>21</v>
      </c>
      <c r="D763" s="15" t="s">
        <v>15</v>
      </c>
      <c r="E763" s="15">
        <v>2</v>
      </c>
      <c r="F763" s="15">
        <v>61583</v>
      </c>
      <c r="G763" s="16">
        <f>'Data File'!$F763*'Data File'!$E763</f>
        <v>123166</v>
      </c>
    </row>
    <row r="764" spans="1:7" x14ac:dyDescent="0.35">
      <c r="A764" s="11">
        <v>45204.645648148151</v>
      </c>
      <c r="B764" s="12" t="s">
        <v>13</v>
      </c>
      <c r="C764" s="12" t="s">
        <v>11</v>
      </c>
      <c r="D764" s="12" t="s">
        <v>16</v>
      </c>
      <c r="E764" s="12">
        <v>11</v>
      </c>
      <c r="F764" s="12">
        <v>38998</v>
      </c>
      <c r="G764" s="13">
        <f>'Data File'!$F764*'Data File'!$E764</f>
        <v>428978</v>
      </c>
    </row>
    <row r="765" spans="1:7" x14ac:dyDescent="0.35">
      <c r="A765" s="14">
        <v>45205.010011574072</v>
      </c>
      <c r="B765" s="15" t="s">
        <v>12</v>
      </c>
      <c r="C765" s="15" t="s">
        <v>11</v>
      </c>
      <c r="D765" s="15" t="s">
        <v>18</v>
      </c>
      <c r="E765" s="15">
        <v>9</v>
      </c>
      <c r="F765" s="15">
        <v>32230</v>
      </c>
      <c r="G765" s="16">
        <f>'Data File'!$F765*'Data File'!$E765</f>
        <v>290070</v>
      </c>
    </row>
    <row r="766" spans="1:7" x14ac:dyDescent="0.35">
      <c r="A766" s="11">
        <v>45205.374374999999</v>
      </c>
      <c r="B766" s="12" t="s">
        <v>13</v>
      </c>
      <c r="C766" s="12" t="s">
        <v>8</v>
      </c>
      <c r="D766" s="12" t="s">
        <v>14</v>
      </c>
      <c r="E766" s="12">
        <v>12</v>
      </c>
      <c r="F766" s="12">
        <v>14076</v>
      </c>
      <c r="G766" s="13">
        <f>'Data File'!$F766*'Data File'!$E766</f>
        <v>168912</v>
      </c>
    </row>
    <row r="767" spans="1:7" x14ac:dyDescent="0.35">
      <c r="A767" s="14">
        <v>45205.738738425927</v>
      </c>
      <c r="B767" s="15" t="s">
        <v>6</v>
      </c>
      <c r="C767" s="15" t="s">
        <v>21</v>
      </c>
      <c r="D767" s="15" t="s">
        <v>16</v>
      </c>
      <c r="E767" s="15">
        <v>17</v>
      </c>
      <c r="F767" s="15">
        <v>74341</v>
      </c>
      <c r="G767" s="16">
        <f>'Data File'!$F767*'Data File'!$E767</f>
        <v>1263797</v>
      </c>
    </row>
    <row r="768" spans="1:7" x14ac:dyDescent="0.35">
      <c r="A768" s="11">
        <v>45206.103101851855</v>
      </c>
      <c r="B768" s="12" t="s">
        <v>13</v>
      </c>
      <c r="C768" s="12" t="s">
        <v>21</v>
      </c>
      <c r="D768" s="12" t="s">
        <v>16</v>
      </c>
      <c r="E768" s="12">
        <v>15</v>
      </c>
      <c r="F768" s="12">
        <v>36085</v>
      </c>
      <c r="G768" s="13">
        <f>'Data File'!$F768*'Data File'!$E768</f>
        <v>541275</v>
      </c>
    </row>
    <row r="769" spans="1:7" x14ac:dyDescent="0.35">
      <c r="A769" s="14">
        <v>45206.467465277776</v>
      </c>
      <c r="B769" s="15" t="s">
        <v>7</v>
      </c>
      <c r="C769" s="15" t="s">
        <v>9</v>
      </c>
      <c r="D769" s="15" t="s">
        <v>14</v>
      </c>
      <c r="E769" s="15">
        <v>17</v>
      </c>
      <c r="F769" s="15">
        <v>60571</v>
      </c>
      <c r="G769" s="16">
        <f>'Data File'!$F769*'Data File'!$E769</f>
        <v>1029707</v>
      </c>
    </row>
    <row r="770" spans="1:7" x14ac:dyDescent="0.35">
      <c r="A770" s="11">
        <v>45206.831828703704</v>
      </c>
      <c r="B770" s="12" t="s">
        <v>7</v>
      </c>
      <c r="C770" s="12" t="s">
        <v>9</v>
      </c>
      <c r="D770" s="12" t="s">
        <v>15</v>
      </c>
      <c r="E770" s="12">
        <v>18</v>
      </c>
      <c r="F770" s="12">
        <v>19715</v>
      </c>
      <c r="G770" s="13">
        <f>'Data File'!$F770*'Data File'!$E770</f>
        <v>354870</v>
      </c>
    </row>
    <row r="771" spans="1:7" x14ac:dyDescent="0.35">
      <c r="A771" s="14">
        <v>45207.196192129632</v>
      </c>
      <c r="B771" s="15" t="s">
        <v>13</v>
      </c>
      <c r="C771" s="15" t="s">
        <v>8</v>
      </c>
      <c r="D771" s="15" t="s">
        <v>14</v>
      </c>
      <c r="E771" s="15">
        <v>6</v>
      </c>
      <c r="F771" s="15">
        <v>10750</v>
      </c>
      <c r="G771" s="16">
        <f>'Data File'!$F771*'Data File'!$E771</f>
        <v>64500</v>
      </c>
    </row>
    <row r="772" spans="1:7" x14ac:dyDescent="0.35">
      <c r="A772" s="11">
        <v>45207.560555555552</v>
      </c>
      <c r="B772" s="12" t="s">
        <v>13</v>
      </c>
      <c r="C772" s="12" t="s">
        <v>8</v>
      </c>
      <c r="D772" s="12" t="s">
        <v>16</v>
      </c>
      <c r="E772" s="12">
        <v>17</v>
      </c>
      <c r="F772" s="12">
        <v>40903</v>
      </c>
      <c r="G772" s="13">
        <f>'Data File'!$F772*'Data File'!$E772</f>
        <v>695351</v>
      </c>
    </row>
    <row r="773" spans="1:7" x14ac:dyDescent="0.35">
      <c r="A773" s="14">
        <v>45207.924930555557</v>
      </c>
      <c r="B773" s="15" t="s">
        <v>13</v>
      </c>
      <c r="C773" s="15" t="s">
        <v>10</v>
      </c>
      <c r="D773" s="15" t="s">
        <v>15</v>
      </c>
      <c r="E773" s="15">
        <v>18</v>
      </c>
      <c r="F773" s="15">
        <v>37093</v>
      </c>
      <c r="G773" s="16">
        <f>'Data File'!$F773*'Data File'!$E773</f>
        <v>667674</v>
      </c>
    </row>
    <row r="774" spans="1:7" x14ac:dyDescent="0.35">
      <c r="A774" s="11">
        <v>45208.289293981485</v>
      </c>
      <c r="B774" s="12" t="s">
        <v>13</v>
      </c>
      <c r="C774" s="12" t="s">
        <v>9</v>
      </c>
      <c r="D774" s="12" t="s">
        <v>15</v>
      </c>
      <c r="E774" s="12">
        <v>8</v>
      </c>
      <c r="F774" s="12">
        <v>39314</v>
      </c>
      <c r="G774" s="13">
        <f>'Data File'!$F774*'Data File'!$E774</f>
        <v>314512</v>
      </c>
    </row>
    <row r="775" spans="1:7" x14ac:dyDescent="0.35">
      <c r="A775" s="14">
        <v>45208.653657407405</v>
      </c>
      <c r="B775" s="15" t="s">
        <v>7</v>
      </c>
      <c r="C775" s="15" t="s">
        <v>11</v>
      </c>
      <c r="D775" s="15" t="s">
        <v>14</v>
      </c>
      <c r="E775" s="15">
        <v>9</v>
      </c>
      <c r="F775" s="15">
        <v>53225</v>
      </c>
      <c r="G775" s="16">
        <f>'Data File'!$F775*'Data File'!$E775</f>
        <v>479025</v>
      </c>
    </row>
    <row r="776" spans="1:7" x14ac:dyDescent="0.35">
      <c r="A776" s="11">
        <v>45209.018020833333</v>
      </c>
      <c r="B776" s="12" t="s">
        <v>12</v>
      </c>
      <c r="C776" s="12" t="s">
        <v>21</v>
      </c>
      <c r="D776" s="12" t="s">
        <v>16</v>
      </c>
      <c r="E776" s="12">
        <v>6</v>
      </c>
      <c r="F776" s="12">
        <v>40179</v>
      </c>
      <c r="G776" s="13">
        <f>'Data File'!$F776*'Data File'!$E776</f>
        <v>241074</v>
      </c>
    </row>
    <row r="777" spans="1:7" x14ac:dyDescent="0.35">
      <c r="A777" s="14">
        <v>45209.382384259261</v>
      </c>
      <c r="B777" s="15" t="s">
        <v>13</v>
      </c>
      <c r="C777" s="15" t="s">
        <v>8</v>
      </c>
      <c r="D777" s="15" t="s">
        <v>18</v>
      </c>
      <c r="E777" s="15">
        <v>5</v>
      </c>
      <c r="F777" s="15">
        <v>30338</v>
      </c>
      <c r="G777" s="16">
        <f>'Data File'!$F777*'Data File'!$E777</f>
        <v>151690</v>
      </c>
    </row>
    <row r="778" spans="1:7" x14ac:dyDescent="0.35">
      <c r="A778" s="11">
        <v>45209.746747685182</v>
      </c>
      <c r="B778" s="12" t="s">
        <v>13</v>
      </c>
      <c r="C778" s="12" t="s">
        <v>21</v>
      </c>
      <c r="D778" s="12" t="s">
        <v>16</v>
      </c>
      <c r="E778" s="12">
        <v>12</v>
      </c>
      <c r="F778" s="12">
        <v>74681</v>
      </c>
      <c r="G778" s="13">
        <f>'Data File'!$F778*'Data File'!$E778</f>
        <v>896172</v>
      </c>
    </row>
    <row r="779" spans="1:7" x14ac:dyDescent="0.35">
      <c r="A779" s="14">
        <v>45210.111111111109</v>
      </c>
      <c r="B779" s="15" t="s">
        <v>7</v>
      </c>
      <c r="C779" s="15" t="s">
        <v>21</v>
      </c>
      <c r="D779" s="15" t="s">
        <v>19</v>
      </c>
      <c r="E779" s="15">
        <v>11</v>
      </c>
      <c r="F779" s="15">
        <v>37101</v>
      </c>
      <c r="G779" s="16">
        <f>'Data File'!$F779*'Data File'!$E779</f>
        <v>408111</v>
      </c>
    </row>
    <row r="780" spans="1:7" x14ac:dyDescent="0.35">
      <c r="A780" s="11">
        <v>45210.475474537037</v>
      </c>
      <c r="B780" s="12" t="s">
        <v>7</v>
      </c>
      <c r="C780" s="12" t="s">
        <v>10</v>
      </c>
      <c r="D780" s="12" t="s">
        <v>17</v>
      </c>
      <c r="E780" s="12">
        <v>1</v>
      </c>
      <c r="F780" s="12">
        <v>7775</v>
      </c>
      <c r="G780" s="13">
        <f>'Data File'!$F780*'Data File'!$E780</f>
        <v>7775</v>
      </c>
    </row>
    <row r="781" spans="1:7" x14ac:dyDescent="0.35">
      <c r="A781" s="14">
        <v>45210.839837962965</v>
      </c>
      <c r="B781" s="15" t="s">
        <v>6</v>
      </c>
      <c r="C781" s="15" t="s">
        <v>9</v>
      </c>
      <c r="D781" s="15" t="s">
        <v>18</v>
      </c>
      <c r="E781" s="15">
        <v>11</v>
      </c>
      <c r="F781" s="15">
        <v>50619</v>
      </c>
      <c r="G781" s="16">
        <f>'Data File'!$F781*'Data File'!$E781</f>
        <v>556809</v>
      </c>
    </row>
    <row r="782" spans="1:7" x14ac:dyDescent="0.35">
      <c r="A782" s="11">
        <v>45211.204201388886</v>
      </c>
      <c r="B782" s="12" t="s">
        <v>13</v>
      </c>
      <c r="C782" s="12" t="s">
        <v>8</v>
      </c>
      <c r="D782" s="12" t="s">
        <v>15</v>
      </c>
      <c r="E782" s="12">
        <v>19</v>
      </c>
      <c r="F782" s="12">
        <v>50838</v>
      </c>
      <c r="G782" s="13">
        <f>'Data File'!$F782*'Data File'!$E782</f>
        <v>965922</v>
      </c>
    </row>
    <row r="783" spans="1:7" x14ac:dyDescent="0.35">
      <c r="A783" s="14">
        <v>45211.568564814814</v>
      </c>
      <c r="B783" s="15" t="s">
        <v>6</v>
      </c>
      <c r="C783" s="15" t="s">
        <v>21</v>
      </c>
      <c r="D783" s="15" t="s">
        <v>18</v>
      </c>
      <c r="E783" s="15">
        <v>9</v>
      </c>
      <c r="F783" s="15">
        <v>24539</v>
      </c>
      <c r="G783" s="16">
        <f>'Data File'!$F783*'Data File'!$E783</f>
        <v>220851</v>
      </c>
    </row>
    <row r="784" spans="1:7" x14ac:dyDescent="0.35">
      <c r="A784" s="11">
        <v>45211.932928240742</v>
      </c>
      <c r="B784" s="12" t="s">
        <v>7</v>
      </c>
      <c r="C784" s="12" t="s">
        <v>8</v>
      </c>
      <c r="D784" s="12" t="s">
        <v>15</v>
      </c>
      <c r="E784" s="12">
        <v>2</v>
      </c>
      <c r="F784" s="12">
        <v>62124</v>
      </c>
      <c r="G784" s="13">
        <f>'Data File'!$F784*'Data File'!$E784</f>
        <v>124248</v>
      </c>
    </row>
    <row r="785" spans="1:7" x14ac:dyDescent="0.35">
      <c r="A785" s="14">
        <v>45212.297291666669</v>
      </c>
      <c r="B785" s="15" t="s">
        <v>7</v>
      </c>
      <c r="C785" s="15" t="s">
        <v>11</v>
      </c>
      <c r="D785" s="15" t="s">
        <v>15</v>
      </c>
      <c r="E785" s="15">
        <v>12</v>
      </c>
      <c r="F785" s="15">
        <v>70149</v>
      </c>
      <c r="G785" s="16">
        <f>'Data File'!$F785*'Data File'!$E785</f>
        <v>841788</v>
      </c>
    </row>
    <row r="786" spans="1:7" x14ac:dyDescent="0.35">
      <c r="A786" s="11">
        <v>45212.661666666667</v>
      </c>
      <c r="B786" s="12" t="s">
        <v>12</v>
      </c>
      <c r="C786" s="12" t="s">
        <v>10</v>
      </c>
      <c r="D786" s="12" t="s">
        <v>18</v>
      </c>
      <c r="E786" s="12">
        <v>4</v>
      </c>
      <c r="F786" s="12">
        <v>31616</v>
      </c>
      <c r="G786" s="13">
        <f>'Data File'!$F786*'Data File'!$E786</f>
        <v>126464</v>
      </c>
    </row>
    <row r="787" spans="1:7" x14ac:dyDescent="0.35">
      <c r="A787" s="14">
        <v>45213.026030092595</v>
      </c>
      <c r="B787" s="15" t="s">
        <v>13</v>
      </c>
      <c r="C787" s="15" t="s">
        <v>11</v>
      </c>
      <c r="D787" s="15" t="s">
        <v>15</v>
      </c>
      <c r="E787" s="15">
        <v>4</v>
      </c>
      <c r="F787" s="15">
        <v>59567</v>
      </c>
      <c r="G787" s="16">
        <f>'Data File'!$F787*'Data File'!$E787</f>
        <v>238268</v>
      </c>
    </row>
    <row r="788" spans="1:7" x14ac:dyDescent="0.35">
      <c r="A788" s="11">
        <v>45213.390393518515</v>
      </c>
      <c r="B788" s="12" t="s">
        <v>6</v>
      </c>
      <c r="C788" s="12" t="s">
        <v>8</v>
      </c>
      <c r="D788" s="12" t="s">
        <v>15</v>
      </c>
      <c r="E788" s="12">
        <v>18</v>
      </c>
      <c r="F788" s="12">
        <v>42099</v>
      </c>
      <c r="G788" s="13">
        <f>'Data File'!$F788*'Data File'!$E788</f>
        <v>757782</v>
      </c>
    </row>
    <row r="789" spans="1:7" x14ac:dyDescent="0.35">
      <c r="A789" s="14">
        <v>45213.754756944443</v>
      </c>
      <c r="B789" s="15" t="s">
        <v>7</v>
      </c>
      <c r="C789" s="15" t="s">
        <v>8</v>
      </c>
      <c r="D789" s="15" t="s">
        <v>19</v>
      </c>
      <c r="E789" s="15">
        <v>15</v>
      </c>
      <c r="F789" s="15">
        <v>66799</v>
      </c>
      <c r="G789" s="16">
        <f>'Data File'!$F789*'Data File'!$E789</f>
        <v>1001985</v>
      </c>
    </row>
    <row r="790" spans="1:7" x14ac:dyDescent="0.35">
      <c r="A790" s="11">
        <v>45214.119120370371</v>
      </c>
      <c r="B790" s="12" t="s">
        <v>7</v>
      </c>
      <c r="C790" s="12" t="s">
        <v>9</v>
      </c>
      <c r="D790" s="12" t="s">
        <v>16</v>
      </c>
      <c r="E790" s="12">
        <v>19</v>
      </c>
      <c r="F790" s="12">
        <v>30479</v>
      </c>
      <c r="G790" s="13">
        <f>'Data File'!$F790*'Data File'!$E790</f>
        <v>579101</v>
      </c>
    </row>
    <row r="791" spans="1:7" x14ac:dyDescent="0.35">
      <c r="A791" s="14">
        <v>45214.483483796299</v>
      </c>
      <c r="B791" s="15" t="s">
        <v>6</v>
      </c>
      <c r="C791" s="15" t="s">
        <v>21</v>
      </c>
      <c r="D791" s="15" t="s">
        <v>16</v>
      </c>
      <c r="E791" s="15">
        <v>13</v>
      </c>
      <c r="F791" s="15">
        <v>51172</v>
      </c>
      <c r="G791" s="16">
        <f>'Data File'!$F791*'Data File'!$E791</f>
        <v>665236</v>
      </c>
    </row>
    <row r="792" spans="1:7" x14ac:dyDescent="0.35">
      <c r="A792" s="11">
        <v>45214.84784722222</v>
      </c>
      <c r="B792" s="12" t="s">
        <v>12</v>
      </c>
      <c r="C792" s="12" t="s">
        <v>21</v>
      </c>
      <c r="D792" s="12" t="s">
        <v>17</v>
      </c>
      <c r="E792" s="12">
        <v>19</v>
      </c>
      <c r="F792" s="12">
        <v>60863</v>
      </c>
      <c r="G792" s="13">
        <f>'Data File'!$F792*'Data File'!$E792</f>
        <v>1156397</v>
      </c>
    </row>
    <row r="793" spans="1:7" x14ac:dyDescent="0.35">
      <c r="A793" s="14">
        <v>45215.212210648147</v>
      </c>
      <c r="B793" s="15" t="s">
        <v>7</v>
      </c>
      <c r="C793" s="15" t="s">
        <v>11</v>
      </c>
      <c r="D793" s="15" t="s">
        <v>17</v>
      </c>
      <c r="E793" s="15">
        <v>17</v>
      </c>
      <c r="F793" s="15">
        <v>47043</v>
      </c>
      <c r="G793" s="16">
        <f>'Data File'!$F793*'Data File'!$E793</f>
        <v>799731</v>
      </c>
    </row>
    <row r="794" spans="1:7" x14ac:dyDescent="0.35">
      <c r="A794" s="11">
        <v>45215.576574074075</v>
      </c>
      <c r="B794" s="12" t="s">
        <v>13</v>
      </c>
      <c r="C794" s="12" t="s">
        <v>10</v>
      </c>
      <c r="D794" s="12" t="s">
        <v>19</v>
      </c>
      <c r="E794" s="12">
        <v>6</v>
      </c>
      <c r="F794" s="12">
        <v>20408</v>
      </c>
      <c r="G794" s="13">
        <f>'Data File'!$F794*'Data File'!$E794</f>
        <v>122448</v>
      </c>
    </row>
    <row r="795" spans="1:7" x14ac:dyDescent="0.35">
      <c r="A795" s="14">
        <v>45215.940937500003</v>
      </c>
      <c r="B795" s="15" t="s">
        <v>7</v>
      </c>
      <c r="C795" s="15" t="s">
        <v>21</v>
      </c>
      <c r="D795" s="15" t="s">
        <v>17</v>
      </c>
      <c r="E795" s="15">
        <v>16</v>
      </c>
      <c r="F795" s="15">
        <v>62980</v>
      </c>
      <c r="G795" s="16">
        <f>'Data File'!$F795*'Data File'!$E795</f>
        <v>1007680</v>
      </c>
    </row>
    <row r="796" spans="1:7" x14ac:dyDescent="0.35">
      <c r="A796" s="11">
        <v>45216.305300925924</v>
      </c>
      <c r="B796" s="12" t="s">
        <v>13</v>
      </c>
      <c r="C796" s="12" t="s">
        <v>9</v>
      </c>
      <c r="D796" s="12" t="s">
        <v>18</v>
      </c>
      <c r="E796" s="12">
        <v>12</v>
      </c>
      <c r="F796" s="12">
        <v>21351</v>
      </c>
      <c r="G796" s="13">
        <f>'Data File'!$F796*'Data File'!$E796</f>
        <v>256212</v>
      </c>
    </row>
    <row r="797" spans="1:7" x14ac:dyDescent="0.35">
      <c r="A797" s="14">
        <v>45216.669664351852</v>
      </c>
      <c r="B797" s="15" t="s">
        <v>6</v>
      </c>
      <c r="C797" s="15" t="s">
        <v>11</v>
      </c>
      <c r="D797" s="15" t="s">
        <v>14</v>
      </c>
      <c r="E797" s="15">
        <v>19</v>
      </c>
      <c r="F797" s="15">
        <v>9131</v>
      </c>
      <c r="G797" s="16">
        <f>'Data File'!$F797*'Data File'!$E797</f>
        <v>173489</v>
      </c>
    </row>
    <row r="798" spans="1:7" x14ac:dyDescent="0.35">
      <c r="A798" s="11">
        <v>45217.034039351849</v>
      </c>
      <c r="B798" s="12" t="s">
        <v>13</v>
      </c>
      <c r="C798" s="12" t="s">
        <v>11</v>
      </c>
      <c r="D798" s="12" t="s">
        <v>14</v>
      </c>
      <c r="E798" s="12">
        <v>5</v>
      </c>
      <c r="F798" s="12">
        <v>49825</v>
      </c>
      <c r="G798" s="13">
        <f>'Data File'!$F798*'Data File'!$E798</f>
        <v>249125</v>
      </c>
    </row>
    <row r="799" spans="1:7" x14ac:dyDescent="0.35">
      <c r="A799" s="14">
        <v>45217.398402777777</v>
      </c>
      <c r="B799" s="15" t="s">
        <v>6</v>
      </c>
      <c r="C799" s="15" t="s">
        <v>9</v>
      </c>
      <c r="D799" s="15" t="s">
        <v>14</v>
      </c>
      <c r="E799" s="15">
        <v>17</v>
      </c>
      <c r="F799" s="15">
        <v>16349</v>
      </c>
      <c r="G799" s="16">
        <f>'Data File'!$F799*'Data File'!$E799</f>
        <v>277933</v>
      </c>
    </row>
    <row r="800" spans="1:7" x14ac:dyDescent="0.35">
      <c r="A800" s="11">
        <v>45217.762766203705</v>
      </c>
      <c r="B800" s="12" t="s">
        <v>13</v>
      </c>
      <c r="C800" s="12" t="s">
        <v>10</v>
      </c>
      <c r="D800" s="12" t="s">
        <v>19</v>
      </c>
      <c r="E800" s="12">
        <v>1</v>
      </c>
      <c r="F800" s="12">
        <v>65931</v>
      </c>
      <c r="G800" s="13">
        <f>'Data File'!$F800*'Data File'!$E800</f>
        <v>65931</v>
      </c>
    </row>
    <row r="801" spans="1:7" x14ac:dyDescent="0.35">
      <c r="A801" s="14">
        <v>45218.127129629633</v>
      </c>
      <c r="B801" s="15" t="s">
        <v>6</v>
      </c>
      <c r="C801" s="15" t="s">
        <v>9</v>
      </c>
      <c r="D801" s="15" t="s">
        <v>19</v>
      </c>
      <c r="E801" s="15">
        <v>10</v>
      </c>
      <c r="F801" s="15">
        <v>49254</v>
      </c>
      <c r="G801" s="16">
        <f>'Data File'!$F801*'Data File'!$E801</f>
        <v>492540</v>
      </c>
    </row>
    <row r="802" spans="1:7" x14ac:dyDescent="0.35">
      <c r="A802" s="11">
        <v>45218.491493055553</v>
      </c>
      <c r="B802" s="12" t="s">
        <v>13</v>
      </c>
      <c r="C802" s="12" t="s">
        <v>10</v>
      </c>
      <c r="D802" s="12" t="s">
        <v>15</v>
      </c>
      <c r="E802" s="12">
        <v>15</v>
      </c>
      <c r="F802" s="12">
        <v>43225</v>
      </c>
      <c r="G802" s="13">
        <f>'Data File'!$F802*'Data File'!$E802</f>
        <v>648375</v>
      </c>
    </row>
    <row r="803" spans="1:7" x14ac:dyDescent="0.35">
      <c r="A803" s="14">
        <v>45218.855856481481</v>
      </c>
      <c r="B803" s="15" t="s">
        <v>12</v>
      </c>
      <c r="C803" s="15" t="s">
        <v>9</v>
      </c>
      <c r="D803" s="15" t="s">
        <v>14</v>
      </c>
      <c r="E803" s="15">
        <v>11</v>
      </c>
      <c r="F803" s="15">
        <v>17453</v>
      </c>
      <c r="G803" s="16">
        <f>'Data File'!$F803*'Data File'!$E803</f>
        <v>191983</v>
      </c>
    </row>
    <row r="804" spans="1:7" x14ac:dyDescent="0.35">
      <c r="A804" s="11">
        <v>45219.220219907409</v>
      </c>
      <c r="B804" s="12" t="s">
        <v>13</v>
      </c>
      <c r="C804" s="12" t="s">
        <v>9</v>
      </c>
      <c r="D804" s="12" t="s">
        <v>18</v>
      </c>
      <c r="E804" s="12">
        <v>13</v>
      </c>
      <c r="F804" s="12">
        <v>23814</v>
      </c>
      <c r="G804" s="13">
        <f>'Data File'!$F804*'Data File'!$E804</f>
        <v>309582</v>
      </c>
    </row>
    <row r="805" spans="1:7" x14ac:dyDescent="0.35">
      <c r="A805" s="14">
        <v>45219.584583333337</v>
      </c>
      <c r="B805" s="15" t="s">
        <v>13</v>
      </c>
      <c r="C805" s="15" t="s">
        <v>8</v>
      </c>
      <c r="D805" s="15" t="s">
        <v>17</v>
      </c>
      <c r="E805" s="15">
        <v>5</v>
      </c>
      <c r="F805" s="15">
        <v>23263</v>
      </c>
      <c r="G805" s="16">
        <f>'Data File'!$F805*'Data File'!$E805</f>
        <v>116315</v>
      </c>
    </row>
    <row r="806" spans="1:7" x14ac:dyDescent="0.35">
      <c r="A806" s="11">
        <v>45219.948946759258</v>
      </c>
      <c r="B806" s="12" t="s">
        <v>12</v>
      </c>
      <c r="C806" s="12" t="s">
        <v>11</v>
      </c>
      <c r="D806" s="12" t="s">
        <v>18</v>
      </c>
      <c r="E806" s="12">
        <v>1</v>
      </c>
      <c r="F806" s="12">
        <v>20735</v>
      </c>
      <c r="G806" s="13">
        <f>'Data File'!$F806*'Data File'!$E806</f>
        <v>20735</v>
      </c>
    </row>
    <row r="807" spans="1:7" x14ac:dyDescent="0.35">
      <c r="A807" s="14">
        <v>45220.313310185185</v>
      </c>
      <c r="B807" s="15" t="s">
        <v>7</v>
      </c>
      <c r="C807" s="15" t="s">
        <v>9</v>
      </c>
      <c r="D807" s="15" t="s">
        <v>17</v>
      </c>
      <c r="E807" s="15">
        <v>12</v>
      </c>
      <c r="F807" s="15">
        <v>20830</v>
      </c>
      <c r="G807" s="16">
        <f>'Data File'!$F807*'Data File'!$E807</f>
        <v>249960</v>
      </c>
    </row>
    <row r="808" spans="1:7" x14ac:dyDescent="0.35">
      <c r="A808" s="11">
        <v>45220.677673611113</v>
      </c>
      <c r="B808" s="12" t="s">
        <v>7</v>
      </c>
      <c r="C808" s="12" t="s">
        <v>9</v>
      </c>
      <c r="D808" s="12" t="s">
        <v>14</v>
      </c>
      <c r="E808" s="12">
        <v>11</v>
      </c>
      <c r="F808" s="12">
        <v>52893</v>
      </c>
      <c r="G808" s="13">
        <f>'Data File'!$F808*'Data File'!$E808</f>
        <v>581823</v>
      </c>
    </row>
    <row r="809" spans="1:7" x14ac:dyDescent="0.35">
      <c r="A809" s="14">
        <v>45221.042037037034</v>
      </c>
      <c r="B809" s="15" t="s">
        <v>13</v>
      </c>
      <c r="C809" s="15" t="s">
        <v>21</v>
      </c>
      <c r="D809" s="15" t="s">
        <v>14</v>
      </c>
      <c r="E809" s="15">
        <v>17</v>
      </c>
      <c r="F809" s="15">
        <v>49673</v>
      </c>
      <c r="G809" s="16">
        <f>'Data File'!$F809*'Data File'!$E809</f>
        <v>844441</v>
      </c>
    </row>
    <row r="810" spans="1:7" x14ac:dyDescent="0.35">
      <c r="A810" s="11">
        <v>45221.406412037039</v>
      </c>
      <c r="B810" s="12" t="s">
        <v>12</v>
      </c>
      <c r="C810" s="12" t="s">
        <v>11</v>
      </c>
      <c r="D810" s="12" t="s">
        <v>14</v>
      </c>
      <c r="E810" s="12">
        <v>4</v>
      </c>
      <c r="F810" s="12">
        <v>50066</v>
      </c>
      <c r="G810" s="13">
        <f>'Data File'!$F810*'Data File'!$E810</f>
        <v>200264</v>
      </c>
    </row>
    <row r="811" spans="1:7" x14ac:dyDescent="0.35">
      <c r="A811" s="14">
        <v>45221.770775462966</v>
      </c>
      <c r="B811" s="15" t="s">
        <v>13</v>
      </c>
      <c r="C811" s="15" t="s">
        <v>21</v>
      </c>
      <c r="D811" s="15" t="s">
        <v>19</v>
      </c>
      <c r="E811" s="15">
        <v>15</v>
      </c>
      <c r="F811" s="15">
        <v>8373</v>
      </c>
      <c r="G811" s="16">
        <f>'Data File'!$F811*'Data File'!$E811</f>
        <v>125595</v>
      </c>
    </row>
    <row r="812" spans="1:7" x14ac:dyDescent="0.35">
      <c r="A812" s="11">
        <v>45222.135138888887</v>
      </c>
      <c r="B812" s="12" t="s">
        <v>6</v>
      </c>
      <c r="C812" s="12" t="s">
        <v>11</v>
      </c>
      <c r="D812" s="12" t="s">
        <v>17</v>
      </c>
      <c r="E812" s="12">
        <v>9</v>
      </c>
      <c r="F812" s="12">
        <v>15335</v>
      </c>
      <c r="G812" s="13">
        <f>'Data File'!$F812*'Data File'!$E812</f>
        <v>138015</v>
      </c>
    </row>
    <row r="813" spans="1:7" x14ac:dyDescent="0.35">
      <c r="A813" s="14">
        <v>45222.499502314815</v>
      </c>
      <c r="B813" s="15" t="s">
        <v>6</v>
      </c>
      <c r="C813" s="15" t="s">
        <v>21</v>
      </c>
      <c r="D813" s="15" t="s">
        <v>19</v>
      </c>
      <c r="E813" s="15">
        <v>19</v>
      </c>
      <c r="F813" s="15">
        <v>28741</v>
      </c>
      <c r="G813" s="16">
        <f>'Data File'!$F813*'Data File'!$E813</f>
        <v>546079</v>
      </c>
    </row>
    <row r="814" spans="1:7" x14ac:dyDescent="0.35">
      <c r="A814" s="11">
        <v>45222.863865740743</v>
      </c>
      <c r="B814" s="12" t="s">
        <v>13</v>
      </c>
      <c r="C814" s="12" t="s">
        <v>9</v>
      </c>
      <c r="D814" s="12" t="s">
        <v>19</v>
      </c>
      <c r="E814" s="12">
        <v>19</v>
      </c>
      <c r="F814" s="12">
        <v>15692</v>
      </c>
      <c r="G814" s="13">
        <f>'Data File'!$F814*'Data File'!$E814</f>
        <v>298148</v>
      </c>
    </row>
    <row r="815" spans="1:7" x14ac:dyDescent="0.35">
      <c r="A815" s="14">
        <v>45223.228229166663</v>
      </c>
      <c r="B815" s="15" t="s">
        <v>7</v>
      </c>
      <c r="C815" s="15" t="s">
        <v>9</v>
      </c>
      <c r="D815" s="15" t="s">
        <v>16</v>
      </c>
      <c r="E815" s="15">
        <v>12</v>
      </c>
      <c r="F815" s="15">
        <v>52295</v>
      </c>
      <c r="G815" s="16">
        <f>'Data File'!$F815*'Data File'!$E815</f>
        <v>627540</v>
      </c>
    </row>
    <row r="816" spans="1:7" x14ac:dyDescent="0.35">
      <c r="A816" s="11">
        <v>45223.592592592591</v>
      </c>
      <c r="B816" s="12" t="s">
        <v>7</v>
      </c>
      <c r="C816" s="12" t="s">
        <v>8</v>
      </c>
      <c r="D816" s="12" t="s">
        <v>18</v>
      </c>
      <c r="E816" s="12">
        <v>5</v>
      </c>
      <c r="F816" s="12">
        <v>50541</v>
      </c>
      <c r="G816" s="13">
        <f>'Data File'!$F816*'Data File'!$E816</f>
        <v>252705</v>
      </c>
    </row>
    <row r="817" spans="1:7" x14ac:dyDescent="0.35">
      <c r="A817" s="14">
        <v>45223.956956018519</v>
      </c>
      <c r="B817" s="15" t="s">
        <v>13</v>
      </c>
      <c r="C817" s="15" t="s">
        <v>21</v>
      </c>
      <c r="D817" s="15" t="s">
        <v>18</v>
      </c>
      <c r="E817" s="15">
        <v>10</v>
      </c>
      <c r="F817" s="15">
        <v>39057</v>
      </c>
      <c r="G817" s="16">
        <f>'Data File'!$F817*'Data File'!$E817</f>
        <v>390570</v>
      </c>
    </row>
    <row r="818" spans="1:7" x14ac:dyDescent="0.35">
      <c r="A818" s="11">
        <v>45224.321319444447</v>
      </c>
      <c r="B818" s="12" t="s">
        <v>13</v>
      </c>
      <c r="C818" s="12" t="s">
        <v>10</v>
      </c>
      <c r="D818" s="12" t="s">
        <v>15</v>
      </c>
      <c r="E818" s="12">
        <v>17</v>
      </c>
      <c r="F818" s="12">
        <v>71983</v>
      </c>
      <c r="G818" s="13">
        <f>'Data File'!$F818*'Data File'!$E818</f>
        <v>1223711</v>
      </c>
    </row>
    <row r="819" spans="1:7" x14ac:dyDescent="0.35">
      <c r="A819" s="14">
        <v>45224.685682870368</v>
      </c>
      <c r="B819" s="15" t="s">
        <v>6</v>
      </c>
      <c r="C819" s="15" t="s">
        <v>8</v>
      </c>
      <c r="D819" s="15" t="s">
        <v>19</v>
      </c>
      <c r="E819" s="15">
        <v>5</v>
      </c>
      <c r="F819" s="15">
        <v>24583</v>
      </c>
      <c r="G819" s="16">
        <f>'Data File'!$F819*'Data File'!$E819</f>
        <v>122915</v>
      </c>
    </row>
    <row r="820" spans="1:7" x14ac:dyDescent="0.35">
      <c r="A820" s="11">
        <v>45225.050046296295</v>
      </c>
      <c r="B820" s="12" t="s">
        <v>7</v>
      </c>
      <c r="C820" s="12" t="s">
        <v>21</v>
      </c>
      <c r="D820" s="12" t="s">
        <v>17</v>
      </c>
      <c r="E820" s="12">
        <v>16</v>
      </c>
      <c r="F820" s="12">
        <v>27765</v>
      </c>
      <c r="G820" s="13">
        <f>'Data File'!$F820*'Data File'!$E820</f>
        <v>444240</v>
      </c>
    </row>
    <row r="821" spans="1:7" x14ac:dyDescent="0.35">
      <c r="A821" s="14">
        <v>45225.414409722223</v>
      </c>
      <c r="B821" s="15" t="s">
        <v>13</v>
      </c>
      <c r="C821" s="15" t="s">
        <v>21</v>
      </c>
      <c r="D821" s="15" t="s">
        <v>16</v>
      </c>
      <c r="E821" s="15">
        <v>7</v>
      </c>
      <c r="F821" s="15">
        <v>64287</v>
      </c>
      <c r="G821" s="16">
        <f>'Data File'!$F821*'Data File'!$E821</f>
        <v>450009</v>
      </c>
    </row>
    <row r="822" spans="1:7" x14ac:dyDescent="0.35">
      <c r="A822" s="11">
        <v>45225.778773148151</v>
      </c>
      <c r="B822" s="12" t="s">
        <v>6</v>
      </c>
      <c r="C822" s="12" t="s">
        <v>8</v>
      </c>
      <c r="D822" s="12" t="s">
        <v>16</v>
      </c>
      <c r="E822" s="12">
        <v>9</v>
      </c>
      <c r="F822" s="12">
        <v>28906</v>
      </c>
      <c r="G822" s="13">
        <f>'Data File'!$F822*'Data File'!$E822</f>
        <v>260154</v>
      </c>
    </row>
    <row r="823" spans="1:7" x14ac:dyDescent="0.35">
      <c r="A823" s="14">
        <v>45226.143148148149</v>
      </c>
      <c r="B823" s="15" t="s">
        <v>7</v>
      </c>
      <c r="C823" s="15" t="s">
        <v>9</v>
      </c>
      <c r="D823" s="15" t="s">
        <v>18</v>
      </c>
      <c r="E823" s="15">
        <v>3</v>
      </c>
      <c r="F823" s="15">
        <v>51525</v>
      </c>
      <c r="G823" s="16">
        <f>'Data File'!$F823*'Data File'!$E823</f>
        <v>154575</v>
      </c>
    </row>
    <row r="824" spans="1:7" x14ac:dyDescent="0.35">
      <c r="A824" s="11">
        <v>45226.507511574076</v>
      </c>
      <c r="B824" s="12" t="s">
        <v>12</v>
      </c>
      <c r="C824" s="12" t="s">
        <v>21</v>
      </c>
      <c r="D824" s="12" t="s">
        <v>19</v>
      </c>
      <c r="E824" s="12">
        <v>15</v>
      </c>
      <c r="F824" s="12">
        <v>43230</v>
      </c>
      <c r="G824" s="13">
        <f>'Data File'!$F824*'Data File'!$E824</f>
        <v>648450</v>
      </c>
    </row>
    <row r="825" spans="1:7" x14ac:dyDescent="0.35">
      <c r="A825" s="14">
        <v>45226.871874999997</v>
      </c>
      <c r="B825" s="15" t="s">
        <v>6</v>
      </c>
      <c r="C825" s="15" t="s">
        <v>9</v>
      </c>
      <c r="D825" s="15" t="s">
        <v>15</v>
      </c>
      <c r="E825" s="15">
        <v>16</v>
      </c>
      <c r="F825" s="15">
        <v>24520</v>
      </c>
      <c r="G825" s="16">
        <f>'Data File'!$F825*'Data File'!$E825</f>
        <v>392320</v>
      </c>
    </row>
    <row r="826" spans="1:7" x14ac:dyDescent="0.35">
      <c r="A826" s="11">
        <v>45227.236238425925</v>
      </c>
      <c r="B826" s="12" t="s">
        <v>7</v>
      </c>
      <c r="C826" s="12" t="s">
        <v>8</v>
      </c>
      <c r="D826" s="12" t="s">
        <v>19</v>
      </c>
      <c r="E826" s="12">
        <v>18</v>
      </c>
      <c r="F826" s="12">
        <v>56934</v>
      </c>
      <c r="G826" s="13">
        <f>'Data File'!$F826*'Data File'!$E826</f>
        <v>1024812</v>
      </c>
    </row>
    <row r="827" spans="1:7" x14ac:dyDescent="0.35">
      <c r="A827" s="14">
        <v>45227.600601851853</v>
      </c>
      <c r="B827" s="15" t="s">
        <v>7</v>
      </c>
      <c r="C827" s="15" t="s">
        <v>9</v>
      </c>
      <c r="D827" s="15" t="s">
        <v>14</v>
      </c>
      <c r="E827" s="15">
        <v>14</v>
      </c>
      <c r="F827" s="15">
        <v>30566</v>
      </c>
      <c r="G827" s="16">
        <f>'Data File'!$F827*'Data File'!$E827</f>
        <v>427924</v>
      </c>
    </row>
    <row r="828" spans="1:7" x14ac:dyDescent="0.35">
      <c r="A828" s="11">
        <v>45227.964965277781</v>
      </c>
      <c r="B828" s="12" t="s">
        <v>6</v>
      </c>
      <c r="C828" s="12" t="s">
        <v>11</v>
      </c>
      <c r="D828" s="12" t="s">
        <v>19</v>
      </c>
      <c r="E828" s="12">
        <v>3</v>
      </c>
      <c r="F828" s="12">
        <v>35134</v>
      </c>
      <c r="G828" s="13">
        <f>'Data File'!$F828*'Data File'!$E828</f>
        <v>105402</v>
      </c>
    </row>
    <row r="829" spans="1:7" x14ac:dyDescent="0.35">
      <c r="A829" s="14">
        <v>45228.329328703701</v>
      </c>
      <c r="B829" s="15" t="s">
        <v>12</v>
      </c>
      <c r="C829" s="15" t="s">
        <v>10</v>
      </c>
      <c r="D829" s="15" t="s">
        <v>14</v>
      </c>
      <c r="E829" s="15">
        <v>12</v>
      </c>
      <c r="F829" s="15">
        <v>15345</v>
      </c>
      <c r="G829" s="16">
        <f>'Data File'!$F829*'Data File'!$E829</f>
        <v>184140</v>
      </c>
    </row>
    <row r="830" spans="1:7" x14ac:dyDescent="0.35">
      <c r="A830" s="11">
        <v>45228.693692129629</v>
      </c>
      <c r="B830" s="12" t="s">
        <v>6</v>
      </c>
      <c r="C830" s="12" t="s">
        <v>21</v>
      </c>
      <c r="D830" s="12" t="s">
        <v>14</v>
      </c>
      <c r="E830" s="12">
        <v>9</v>
      </c>
      <c r="F830" s="12">
        <v>46185</v>
      </c>
      <c r="G830" s="13">
        <f>'Data File'!$F830*'Data File'!$E830</f>
        <v>415665</v>
      </c>
    </row>
    <row r="831" spans="1:7" x14ac:dyDescent="0.35">
      <c r="A831" s="14">
        <v>45229.058055555557</v>
      </c>
      <c r="B831" s="15" t="s">
        <v>7</v>
      </c>
      <c r="C831" s="15" t="s">
        <v>10</v>
      </c>
      <c r="D831" s="15" t="s">
        <v>15</v>
      </c>
      <c r="E831" s="15">
        <v>7</v>
      </c>
      <c r="F831" s="15">
        <v>38455</v>
      </c>
      <c r="G831" s="16">
        <f>'Data File'!$F831*'Data File'!$E831</f>
        <v>269185</v>
      </c>
    </row>
    <row r="832" spans="1:7" x14ac:dyDescent="0.35">
      <c r="A832" s="11">
        <v>45229.422418981485</v>
      </c>
      <c r="B832" s="12" t="s">
        <v>13</v>
      </c>
      <c r="C832" s="12" t="s">
        <v>9</v>
      </c>
      <c r="D832" s="12" t="s">
        <v>17</v>
      </c>
      <c r="E832" s="12">
        <v>9</v>
      </c>
      <c r="F832" s="12">
        <v>33018</v>
      </c>
      <c r="G832" s="13">
        <f>'Data File'!$F832*'Data File'!$E832</f>
        <v>297162</v>
      </c>
    </row>
    <row r="833" spans="1:7" x14ac:dyDescent="0.35">
      <c r="A833" s="14">
        <v>45229.786782407406</v>
      </c>
      <c r="B833" s="15" t="s">
        <v>13</v>
      </c>
      <c r="C833" s="15" t="s">
        <v>21</v>
      </c>
      <c r="D833" s="15" t="s">
        <v>18</v>
      </c>
      <c r="E833" s="15">
        <v>13</v>
      </c>
      <c r="F833" s="15">
        <v>59219</v>
      </c>
      <c r="G833" s="16">
        <f>'Data File'!$F833*'Data File'!$E833</f>
        <v>769847</v>
      </c>
    </row>
    <row r="834" spans="1:7" x14ac:dyDescent="0.35">
      <c r="A834" s="11">
        <v>45230.151145833333</v>
      </c>
      <c r="B834" s="12" t="s">
        <v>6</v>
      </c>
      <c r="C834" s="12" t="s">
        <v>9</v>
      </c>
      <c r="D834" s="12" t="s">
        <v>19</v>
      </c>
      <c r="E834" s="12">
        <v>18</v>
      </c>
      <c r="F834" s="12">
        <v>50991</v>
      </c>
      <c r="G834" s="13">
        <f>'Data File'!$F834*'Data File'!$E834</f>
        <v>917838</v>
      </c>
    </row>
    <row r="835" spans="1:7" x14ac:dyDescent="0.35">
      <c r="A835" s="14">
        <v>45230.515520833331</v>
      </c>
      <c r="B835" s="15" t="s">
        <v>7</v>
      </c>
      <c r="C835" s="15" t="s">
        <v>11</v>
      </c>
      <c r="D835" s="15" t="s">
        <v>14</v>
      </c>
      <c r="E835" s="15">
        <v>5</v>
      </c>
      <c r="F835" s="15">
        <v>14486</v>
      </c>
      <c r="G835" s="16">
        <f>'Data File'!$F835*'Data File'!$E835</f>
        <v>72430</v>
      </c>
    </row>
    <row r="836" spans="1:7" x14ac:dyDescent="0.35">
      <c r="A836" s="11">
        <v>45230.879884259259</v>
      </c>
      <c r="B836" s="12" t="s">
        <v>13</v>
      </c>
      <c r="C836" s="12" t="s">
        <v>8</v>
      </c>
      <c r="D836" s="12" t="s">
        <v>19</v>
      </c>
      <c r="E836" s="12">
        <v>13</v>
      </c>
      <c r="F836" s="12">
        <v>43862</v>
      </c>
      <c r="G836" s="13">
        <f>'Data File'!$F836*'Data File'!$E836</f>
        <v>570206</v>
      </c>
    </row>
    <row r="837" spans="1:7" x14ac:dyDescent="0.35">
      <c r="A837" s="14">
        <v>45231.244247685187</v>
      </c>
      <c r="B837" s="15" t="s">
        <v>7</v>
      </c>
      <c r="C837" s="15" t="s">
        <v>21</v>
      </c>
      <c r="D837" s="15" t="s">
        <v>17</v>
      </c>
      <c r="E837" s="15">
        <v>4</v>
      </c>
      <c r="F837" s="15">
        <v>63870</v>
      </c>
      <c r="G837" s="16">
        <f>'Data File'!$F837*'Data File'!$E837</f>
        <v>255480</v>
      </c>
    </row>
    <row r="838" spans="1:7" x14ac:dyDescent="0.35">
      <c r="A838" s="11">
        <v>45231.608611111114</v>
      </c>
      <c r="B838" s="12" t="s">
        <v>6</v>
      </c>
      <c r="C838" s="12" t="s">
        <v>11</v>
      </c>
      <c r="D838" s="12" t="s">
        <v>18</v>
      </c>
      <c r="E838" s="12">
        <v>2</v>
      </c>
      <c r="F838" s="12">
        <v>48856</v>
      </c>
      <c r="G838" s="13">
        <f>'Data File'!$F838*'Data File'!$E838</f>
        <v>97712</v>
      </c>
    </row>
    <row r="839" spans="1:7" x14ac:dyDescent="0.35">
      <c r="A839" s="14">
        <v>45231.972974537035</v>
      </c>
      <c r="B839" s="15" t="s">
        <v>13</v>
      </c>
      <c r="C839" s="15" t="s">
        <v>11</v>
      </c>
      <c r="D839" s="15" t="s">
        <v>17</v>
      </c>
      <c r="E839" s="15">
        <v>16</v>
      </c>
      <c r="F839" s="15">
        <v>36379</v>
      </c>
      <c r="G839" s="16">
        <f>'Data File'!$F839*'Data File'!$E839</f>
        <v>582064</v>
      </c>
    </row>
    <row r="840" spans="1:7" x14ac:dyDescent="0.35">
      <c r="A840" s="11">
        <v>45232.337337962963</v>
      </c>
      <c r="B840" s="12" t="s">
        <v>7</v>
      </c>
      <c r="C840" s="12" t="s">
        <v>21</v>
      </c>
      <c r="D840" s="12" t="s">
        <v>18</v>
      </c>
      <c r="E840" s="12">
        <v>9</v>
      </c>
      <c r="F840" s="12">
        <v>69729</v>
      </c>
      <c r="G840" s="13">
        <f>'Data File'!$F840*'Data File'!$E840</f>
        <v>627561</v>
      </c>
    </row>
    <row r="841" spans="1:7" x14ac:dyDescent="0.35">
      <c r="A841" s="14">
        <v>45232.701701388891</v>
      </c>
      <c r="B841" s="15" t="s">
        <v>13</v>
      </c>
      <c r="C841" s="15" t="s">
        <v>9</v>
      </c>
      <c r="D841" s="15" t="s">
        <v>16</v>
      </c>
      <c r="E841" s="15">
        <v>9</v>
      </c>
      <c r="F841" s="15">
        <v>33378</v>
      </c>
      <c r="G841" s="16">
        <f>'Data File'!$F841*'Data File'!$E841</f>
        <v>300402</v>
      </c>
    </row>
    <row r="842" spans="1:7" x14ac:dyDescent="0.35">
      <c r="A842" s="11">
        <v>45233.066064814811</v>
      </c>
      <c r="B842" s="12" t="s">
        <v>6</v>
      </c>
      <c r="C842" s="12" t="s">
        <v>11</v>
      </c>
      <c r="D842" s="12" t="s">
        <v>18</v>
      </c>
      <c r="E842" s="12">
        <v>6</v>
      </c>
      <c r="F842" s="12">
        <v>59353</v>
      </c>
      <c r="G842" s="13">
        <f>'Data File'!$F842*'Data File'!$E842</f>
        <v>356118</v>
      </c>
    </row>
    <row r="843" spans="1:7" x14ac:dyDescent="0.35">
      <c r="A843" s="14">
        <v>45233.430428240739</v>
      </c>
      <c r="B843" s="15" t="s">
        <v>7</v>
      </c>
      <c r="C843" s="15" t="s">
        <v>10</v>
      </c>
      <c r="D843" s="15" t="s">
        <v>15</v>
      </c>
      <c r="E843" s="15">
        <v>11</v>
      </c>
      <c r="F843" s="15">
        <v>54996</v>
      </c>
      <c r="G843" s="16">
        <f>'Data File'!$F843*'Data File'!$E843</f>
        <v>604956</v>
      </c>
    </row>
    <row r="844" spans="1:7" x14ac:dyDescent="0.35">
      <c r="A844" s="11">
        <v>45233.794791666667</v>
      </c>
      <c r="B844" s="12" t="s">
        <v>13</v>
      </c>
      <c r="C844" s="12" t="s">
        <v>11</v>
      </c>
      <c r="D844" s="12" t="s">
        <v>17</v>
      </c>
      <c r="E844" s="12">
        <v>1</v>
      </c>
      <c r="F844" s="12">
        <v>19031</v>
      </c>
      <c r="G844" s="13">
        <f>'Data File'!$F844*'Data File'!$E844</f>
        <v>19031</v>
      </c>
    </row>
    <row r="845" spans="1:7" x14ac:dyDescent="0.35">
      <c r="A845" s="14">
        <v>45234.159155092595</v>
      </c>
      <c r="B845" s="15" t="s">
        <v>6</v>
      </c>
      <c r="C845" s="15" t="s">
        <v>9</v>
      </c>
      <c r="D845" s="15" t="s">
        <v>14</v>
      </c>
      <c r="E845" s="15">
        <v>4</v>
      </c>
      <c r="F845" s="15">
        <v>70982</v>
      </c>
      <c r="G845" s="16">
        <f>'Data File'!$F845*'Data File'!$E845</f>
        <v>283928</v>
      </c>
    </row>
    <row r="846" spans="1:7" x14ac:dyDescent="0.35">
      <c r="A846" s="11">
        <v>45234.523518518516</v>
      </c>
      <c r="B846" s="12" t="s">
        <v>13</v>
      </c>
      <c r="C846" s="12" t="s">
        <v>9</v>
      </c>
      <c r="D846" s="12" t="s">
        <v>16</v>
      </c>
      <c r="E846" s="12">
        <v>13</v>
      </c>
      <c r="F846" s="12">
        <v>41683</v>
      </c>
      <c r="G846" s="13">
        <f>'Data File'!$F846*'Data File'!$E846</f>
        <v>541879</v>
      </c>
    </row>
    <row r="847" spans="1:7" x14ac:dyDescent="0.35">
      <c r="A847" s="14">
        <v>45234.88789351852</v>
      </c>
      <c r="B847" s="15" t="s">
        <v>13</v>
      </c>
      <c r="C847" s="15" t="s">
        <v>10</v>
      </c>
      <c r="D847" s="15" t="s">
        <v>15</v>
      </c>
      <c r="E847" s="15">
        <v>13</v>
      </c>
      <c r="F847" s="15">
        <v>22618</v>
      </c>
      <c r="G847" s="16">
        <f>'Data File'!$F847*'Data File'!$E847</f>
        <v>294034</v>
      </c>
    </row>
    <row r="848" spans="1:7" x14ac:dyDescent="0.35">
      <c r="A848" s="11">
        <v>45235.252256944441</v>
      </c>
      <c r="B848" s="12" t="s">
        <v>12</v>
      </c>
      <c r="C848" s="12" t="s">
        <v>11</v>
      </c>
      <c r="D848" s="12" t="s">
        <v>19</v>
      </c>
      <c r="E848" s="12">
        <v>13</v>
      </c>
      <c r="F848" s="12">
        <v>11587</v>
      </c>
      <c r="G848" s="13">
        <f>'Data File'!$F848*'Data File'!$E848</f>
        <v>150631</v>
      </c>
    </row>
    <row r="849" spans="1:7" x14ac:dyDescent="0.35">
      <c r="A849" s="14">
        <v>45235.616620370369</v>
      </c>
      <c r="B849" s="15" t="s">
        <v>12</v>
      </c>
      <c r="C849" s="15" t="s">
        <v>9</v>
      </c>
      <c r="D849" s="15" t="s">
        <v>17</v>
      </c>
      <c r="E849" s="15">
        <v>2</v>
      </c>
      <c r="F849" s="15">
        <v>67790</v>
      </c>
      <c r="G849" s="16">
        <f>'Data File'!$F849*'Data File'!$E849</f>
        <v>135580</v>
      </c>
    </row>
    <row r="850" spans="1:7" x14ac:dyDescent="0.35">
      <c r="A850" s="11">
        <v>45235.980983796297</v>
      </c>
      <c r="B850" s="12" t="s">
        <v>6</v>
      </c>
      <c r="C850" s="12" t="s">
        <v>21</v>
      </c>
      <c r="D850" s="12" t="s">
        <v>14</v>
      </c>
      <c r="E850" s="12">
        <v>9</v>
      </c>
      <c r="F850" s="12">
        <v>36480</v>
      </c>
      <c r="G850" s="13">
        <f>'Data File'!$F850*'Data File'!$E850</f>
        <v>328320</v>
      </c>
    </row>
    <row r="851" spans="1:7" x14ac:dyDescent="0.35">
      <c r="A851" s="14">
        <v>45236.345347222225</v>
      </c>
      <c r="B851" s="15" t="s">
        <v>12</v>
      </c>
      <c r="C851" s="15" t="s">
        <v>8</v>
      </c>
      <c r="D851" s="15" t="s">
        <v>18</v>
      </c>
      <c r="E851" s="15">
        <v>8</v>
      </c>
      <c r="F851" s="15">
        <v>25527</v>
      </c>
      <c r="G851" s="16">
        <f>'Data File'!$F851*'Data File'!$E851</f>
        <v>204216</v>
      </c>
    </row>
    <row r="852" spans="1:7" x14ac:dyDescent="0.35">
      <c r="A852" s="11">
        <v>45236.709710648145</v>
      </c>
      <c r="B852" s="12" t="s">
        <v>6</v>
      </c>
      <c r="C852" s="12" t="s">
        <v>8</v>
      </c>
      <c r="D852" s="12" t="s">
        <v>14</v>
      </c>
      <c r="E852" s="12">
        <v>7</v>
      </c>
      <c r="F852" s="12">
        <v>28569</v>
      </c>
      <c r="G852" s="13">
        <f>'Data File'!$F852*'Data File'!$E852</f>
        <v>199983</v>
      </c>
    </row>
    <row r="853" spans="1:7" x14ac:dyDescent="0.35">
      <c r="A853" s="14">
        <v>45237.074074074073</v>
      </c>
      <c r="B853" s="15" t="s">
        <v>12</v>
      </c>
      <c r="C853" s="15" t="s">
        <v>8</v>
      </c>
      <c r="D853" s="15" t="s">
        <v>19</v>
      </c>
      <c r="E853" s="15">
        <v>4</v>
      </c>
      <c r="F853" s="15">
        <v>16151</v>
      </c>
      <c r="G853" s="16">
        <f>'Data File'!$F853*'Data File'!$E853</f>
        <v>64604</v>
      </c>
    </row>
    <row r="854" spans="1:7" x14ac:dyDescent="0.35">
      <c r="A854" s="11">
        <v>45237.438437500001</v>
      </c>
      <c r="B854" s="12" t="s">
        <v>13</v>
      </c>
      <c r="C854" s="12" t="s">
        <v>11</v>
      </c>
      <c r="D854" s="12" t="s">
        <v>16</v>
      </c>
      <c r="E854" s="12">
        <v>18</v>
      </c>
      <c r="F854" s="12">
        <v>64174</v>
      </c>
      <c r="G854" s="13">
        <f>'Data File'!$F854*'Data File'!$E854</f>
        <v>1155132</v>
      </c>
    </row>
    <row r="855" spans="1:7" x14ac:dyDescent="0.35">
      <c r="A855" s="14">
        <v>45237.802800925929</v>
      </c>
      <c r="B855" s="15" t="s">
        <v>6</v>
      </c>
      <c r="C855" s="15" t="s">
        <v>10</v>
      </c>
      <c r="D855" s="15" t="s">
        <v>16</v>
      </c>
      <c r="E855" s="15">
        <v>3</v>
      </c>
      <c r="F855" s="15">
        <v>49739</v>
      </c>
      <c r="G855" s="16">
        <f>'Data File'!$F855*'Data File'!$E855</f>
        <v>149217</v>
      </c>
    </row>
    <row r="856" spans="1:7" x14ac:dyDescent="0.35">
      <c r="A856" s="11">
        <v>45238.167164351849</v>
      </c>
      <c r="B856" s="12" t="s">
        <v>6</v>
      </c>
      <c r="C856" s="12" t="s">
        <v>9</v>
      </c>
      <c r="D856" s="12" t="s">
        <v>17</v>
      </c>
      <c r="E856" s="12">
        <v>6</v>
      </c>
      <c r="F856" s="12">
        <v>37954</v>
      </c>
      <c r="G856" s="13">
        <f>'Data File'!$F856*'Data File'!$E856</f>
        <v>227724</v>
      </c>
    </row>
    <row r="857" spans="1:7" x14ac:dyDescent="0.35">
      <c r="A857" s="14">
        <v>45238.531527777777</v>
      </c>
      <c r="B857" s="15" t="s">
        <v>13</v>
      </c>
      <c r="C857" s="15" t="s">
        <v>21</v>
      </c>
      <c r="D857" s="15" t="s">
        <v>16</v>
      </c>
      <c r="E857" s="15">
        <v>12</v>
      </c>
      <c r="F857" s="15">
        <v>40303</v>
      </c>
      <c r="G857" s="16">
        <f>'Data File'!$F857*'Data File'!$E857</f>
        <v>483636</v>
      </c>
    </row>
    <row r="858" spans="1:7" x14ac:dyDescent="0.35">
      <c r="A858" s="11">
        <v>45238.895891203705</v>
      </c>
      <c r="B858" s="12" t="s">
        <v>6</v>
      </c>
      <c r="C858" s="12" t="s">
        <v>21</v>
      </c>
      <c r="D858" s="12" t="s">
        <v>17</v>
      </c>
      <c r="E858" s="12">
        <v>12</v>
      </c>
      <c r="F858" s="12">
        <v>39700</v>
      </c>
      <c r="G858" s="13">
        <f>'Data File'!$F858*'Data File'!$E858</f>
        <v>476400</v>
      </c>
    </row>
    <row r="859" spans="1:7" x14ac:dyDescent="0.35">
      <c r="A859" s="14">
        <v>45239.260254629633</v>
      </c>
      <c r="B859" s="15" t="s">
        <v>6</v>
      </c>
      <c r="C859" s="15" t="s">
        <v>11</v>
      </c>
      <c r="D859" s="15" t="s">
        <v>17</v>
      </c>
      <c r="E859" s="15">
        <v>8</v>
      </c>
      <c r="F859" s="15">
        <v>72568</v>
      </c>
      <c r="G859" s="16">
        <f>'Data File'!$F859*'Data File'!$E859</f>
        <v>580544</v>
      </c>
    </row>
    <row r="860" spans="1:7" x14ac:dyDescent="0.35">
      <c r="A860" s="11">
        <v>45239.62462962963</v>
      </c>
      <c r="B860" s="12" t="s">
        <v>12</v>
      </c>
      <c r="C860" s="12" t="s">
        <v>8</v>
      </c>
      <c r="D860" s="12" t="s">
        <v>17</v>
      </c>
      <c r="E860" s="12">
        <v>1</v>
      </c>
      <c r="F860" s="12">
        <v>71788</v>
      </c>
      <c r="G860" s="13">
        <f>'Data File'!$F860*'Data File'!$E860</f>
        <v>71788</v>
      </c>
    </row>
    <row r="861" spans="1:7" x14ac:dyDescent="0.35">
      <c r="A861" s="14">
        <v>45239.988993055558</v>
      </c>
      <c r="B861" s="15" t="s">
        <v>6</v>
      </c>
      <c r="C861" s="15" t="s">
        <v>11</v>
      </c>
      <c r="D861" s="15" t="s">
        <v>18</v>
      </c>
      <c r="E861" s="15">
        <v>4</v>
      </c>
      <c r="F861" s="15">
        <v>42842</v>
      </c>
      <c r="G861" s="16">
        <f>'Data File'!$F861*'Data File'!$E861</f>
        <v>171368</v>
      </c>
    </row>
    <row r="862" spans="1:7" x14ac:dyDescent="0.35">
      <c r="A862" s="11">
        <v>45240.353356481479</v>
      </c>
      <c r="B862" s="12" t="s">
        <v>7</v>
      </c>
      <c r="C862" s="12" t="s">
        <v>10</v>
      </c>
      <c r="D862" s="12" t="s">
        <v>15</v>
      </c>
      <c r="E862" s="12">
        <v>11</v>
      </c>
      <c r="F862" s="12">
        <v>18900</v>
      </c>
      <c r="G862" s="13">
        <f>'Data File'!$F862*'Data File'!$E862</f>
        <v>207900</v>
      </c>
    </row>
    <row r="863" spans="1:7" x14ac:dyDescent="0.35">
      <c r="A863" s="14">
        <v>45240.717719907407</v>
      </c>
      <c r="B863" s="15" t="s">
        <v>13</v>
      </c>
      <c r="C863" s="15" t="s">
        <v>10</v>
      </c>
      <c r="D863" s="15" t="s">
        <v>17</v>
      </c>
      <c r="E863" s="15">
        <v>3</v>
      </c>
      <c r="F863" s="15">
        <v>6881</v>
      </c>
      <c r="G863" s="16">
        <f>'Data File'!$F863*'Data File'!$E863</f>
        <v>20643</v>
      </c>
    </row>
    <row r="864" spans="1:7" x14ac:dyDescent="0.35">
      <c r="A864" s="11">
        <v>45241.082083333335</v>
      </c>
      <c r="B864" s="12" t="s">
        <v>12</v>
      </c>
      <c r="C864" s="12" t="s">
        <v>9</v>
      </c>
      <c r="D864" s="12" t="s">
        <v>17</v>
      </c>
      <c r="E864" s="12">
        <v>13</v>
      </c>
      <c r="F864" s="12">
        <v>38037</v>
      </c>
      <c r="G864" s="13">
        <f>'Data File'!$F864*'Data File'!$E864</f>
        <v>494481</v>
      </c>
    </row>
    <row r="865" spans="1:7" x14ac:dyDescent="0.35">
      <c r="A865" s="14">
        <v>45241.446446759262</v>
      </c>
      <c r="B865" s="15" t="s">
        <v>12</v>
      </c>
      <c r="C865" s="15" t="s">
        <v>9</v>
      </c>
      <c r="D865" s="15" t="s">
        <v>15</v>
      </c>
      <c r="E865" s="15">
        <v>17</v>
      </c>
      <c r="F865" s="15">
        <v>6630</v>
      </c>
      <c r="G865" s="16">
        <f>'Data File'!$F865*'Data File'!$E865</f>
        <v>112710</v>
      </c>
    </row>
    <row r="866" spans="1:7" x14ac:dyDescent="0.35">
      <c r="A866" s="11">
        <v>45241.810810185183</v>
      </c>
      <c r="B866" s="12" t="s">
        <v>7</v>
      </c>
      <c r="C866" s="12" t="s">
        <v>10</v>
      </c>
      <c r="D866" s="12" t="s">
        <v>14</v>
      </c>
      <c r="E866" s="12">
        <v>10</v>
      </c>
      <c r="F866" s="12">
        <v>25789</v>
      </c>
      <c r="G866" s="13">
        <f>'Data File'!$F866*'Data File'!$E866</f>
        <v>257890</v>
      </c>
    </row>
    <row r="867" spans="1:7" x14ac:dyDescent="0.35">
      <c r="A867" s="14">
        <v>45242.175173611111</v>
      </c>
      <c r="B867" s="15" t="s">
        <v>13</v>
      </c>
      <c r="C867" s="15" t="s">
        <v>10</v>
      </c>
      <c r="D867" s="15" t="s">
        <v>17</v>
      </c>
      <c r="E867" s="15">
        <v>12</v>
      </c>
      <c r="F867" s="15">
        <v>51151</v>
      </c>
      <c r="G867" s="16">
        <f>'Data File'!$F867*'Data File'!$E867</f>
        <v>613812</v>
      </c>
    </row>
    <row r="868" spans="1:7" x14ac:dyDescent="0.35">
      <c r="A868" s="11">
        <v>45242.539537037039</v>
      </c>
      <c r="B868" s="12" t="s">
        <v>13</v>
      </c>
      <c r="C868" s="12" t="s">
        <v>10</v>
      </c>
      <c r="D868" s="12" t="s">
        <v>18</v>
      </c>
      <c r="E868" s="12">
        <v>15</v>
      </c>
      <c r="F868" s="12">
        <v>53920</v>
      </c>
      <c r="G868" s="13">
        <f>'Data File'!$F868*'Data File'!$E868</f>
        <v>808800</v>
      </c>
    </row>
    <row r="869" spans="1:7" x14ac:dyDescent="0.35">
      <c r="A869" s="14">
        <v>45242.903900462959</v>
      </c>
      <c r="B869" s="15" t="s">
        <v>12</v>
      </c>
      <c r="C869" s="15" t="s">
        <v>11</v>
      </c>
      <c r="D869" s="15" t="s">
        <v>16</v>
      </c>
      <c r="E869" s="15">
        <v>10</v>
      </c>
      <c r="F869" s="15">
        <v>72231</v>
      </c>
      <c r="G869" s="16">
        <f>'Data File'!$F869*'Data File'!$E869</f>
        <v>722310</v>
      </c>
    </row>
    <row r="870" spans="1:7" x14ac:dyDescent="0.35">
      <c r="A870" s="11">
        <v>45243.268263888887</v>
      </c>
      <c r="B870" s="12" t="s">
        <v>6</v>
      </c>
      <c r="C870" s="12" t="s">
        <v>10</v>
      </c>
      <c r="D870" s="12" t="s">
        <v>16</v>
      </c>
      <c r="E870" s="12">
        <v>14</v>
      </c>
      <c r="F870" s="12">
        <v>8262</v>
      </c>
      <c r="G870" s="13">
        <f>'Data File'!$F870*'Data File'!$E870</f>
        <v>115668</v>
      </c>
    </row>
    <row r="871" spans="1:7" x14ac:dyDescent="0.35">
      <c r="A871" s="14">
        <v>45243.632627314815</v>
      </c>
      <c r="B871" s="15" t="s">
        <v>12</v>
      </c>
      <c r="C871" s="15" t="s">
        <v>21</v>
      </c>
      <c r="D871" s="15" t="s">
        <v>19</v>
      </c>
      <c r="E871" s="15">
        <v>13</v>
      </c>
      <c r="F871" s="15">
        <v>71981</v>
      </c>
      <c r="G871" s="16">
        <f>'Data File'!$F871*'Data File'!$E871</f>
        <v>935753</v>
      </c>
    </row>
    <row r="872" spans="1:7" x14ac:dyDescent="0.35">
      <c r="A872" s="11">
        <v>45243.997002314813</v>
      </c>
      <c r="B872" s="12" t="s">
        <v>13</v>
      </c>
      <c r="C872" s="12" t="s">
        <v>8</v>
      </c>
      <c r="D872" s="12" t="s">
        <v>19</v>
      </c>
      <c r="E872" s="12">
        <v>5</v>
      </c>
      <c r="F872" s="12">
        <v>59722</v>
      </c>
      <c r="G872" s="13">
        <f>'Data File'!$F872*'Data File'!$E872</f>
        <v>298610</v>
      </c>
    </row>
    <row r="873" spans="1:7" x14ac:dyDescent="0.35">
      <c r="A873" s="14">
        <v>45244.36136574074</v>
      </c>
      <c r="B873" s="15" t="s">
        <v>7</v>
      </c>
      <c r="C873" s="15" t="s">
        <v>10</v>
      </c>
      <c r="D873" s="15" t="s">
        <v>16</v>
      </c>
      <c r="E873" s="15">
        <v>6</v>
      </c>
      <c r="F873" s="15">
        <v>55818</v>
      </c>
      <c r="G873" s="16">
        <f>'Data File'!$F873*'Data File'!$E873</f>
        <v>334908</v>
      </c>
    </row>
    <row r="874" spans="1:7" x14ac:dyDescent="0.35">
      <c r="A874" s="11">
        <v>45244.725729166668</v>
      </c>
      <c r="B874" s="12" t="s">
        <v>12</v>
      </c>
      <c r="C874" s="12" t="s">
        <v>8</v>
      </c>
      <c r="D874" s="12" t="s">
        <v>16</v>
      </c>
      <c r="E874" s="12">
        <v>2</v>
      </c>
      <c r="F874" s="12">
        <v>34932</v>
      </c>
      <c r="G874" s="13">
        <f>'Data File'!$F874*'Data File'!$E874</f>
        <v>69864</v>
      </c>
    </row>
    <row r="875" spans="1:7" x14ac:dyDescent="0.35">
      <c r="A875" s="14">
        <v>45245.090092592596</v>
      </c>
      <c r="B875" s="15" t="s">
        <v>13</v>
      </c>
      <c r="C875" s="15" t="s">
        <v>11</v>
      </c>
      <c r="D875" s="15" t="s">
        <v>18</v>
      </c>
      <c r="E875" s="15">
        <v>17</v>
      </c>
      <c r="F875" s="15">
        <v>11901</v>
      </c>
      <c r="G875" s="16">
        <f>'Data File'!$F875*'Data File'!$E875</f>
        <v>202317</v>
      </c>
    </row>
    <row r="876" spans="1:7" x14ac:dyDescent="0.35">
      <c r="A876" s="11">
        <v>45245.454456018517</v>
      </c>
      <c r="B876" s="12" t="s">
        <v>12</v>
      </c>
      <c r="C876" s="12" t="s">
        <v>8</v>
      </c>
      <c r="D876" s="12" t="s">
        <v>15</v>
      </c>
      <c r="E876" s="12">
        <v>4</v>
      </c>
      <c r="F876" s="12">
        <v>13597</v>
      </c>
      <c r="G876" s="13">
        <f>'Data File'!$F876*'Data File'!$E876</f>
        <v>54388</v>
      </c>
    </row>
    <row r="877" spans="1:7" x14ac:dyDescent="0.35">
      <c r="A877" s="14">
        <v>45245.818819444445</v>
      </c>
      <c r="B877" s="15" t="s">
        <v>6</v>
      </c>
      <c r="C877" s="15" t="s">
        <v>11</v>
      </c>
      <c r="D877" s="15" t="s">
        <v>19</v>
      </c>
      <c r="E877" s="15">
        <v>14</v>
      </c>
      <c r="F877" s="15">
        <v>68909</v>
      </c>
      <c r="G877" s="16">
        <f>'Data File'!$F877*'Data File'!$E877</f>
        <v>964726</v>
      </c>
    </row>
    <row r="878" spans="1:7" x14ac:dyDescent="0.35">
      <c r="A878" s="11">
        <v>45246.183182870373</v>
      </c>
      <c r="B878" s="12" t="s">
        <v>12</v>
      </c>
      <c r="C878" s="12" t="s">
        <v>21</v>
      </c>
      <c r="D878" s="12" t="s">
        <v>15</v>
      </c>
      <c r="E878" s="12">
        <v>10</v>
      </c>
      <c r="F878" s="12">
        <v>13263</v>
      </c>
      <c r="G878" s="13">
        <f>'Data File'!$F878*'Data File'!$E878</f>
        <v>132630</v>
      </c>
    </row>
    <row r="879" spans="1:7" x14ac:dyDescent="0.35">
      <c r="A879" s="14">
        <v>45246.547546296293</v>
      </c>
      <c r="B879" s="15" t="s">
        <v>12</v>
      </c>
      <c r="C879" s="15" t="s">
        <v>11</v>
      </c>
      <c r="D879" s="15" t="s">
        <v>18</v>
      </c>
      <c r="E879" s="15">
        <v>3</v>
      </c>
      <c r="F879" s="15">
        <v>68293</v>
      </c>
      <c r="G879" s="16">
        <f>'Data File'!$F879*'Data File'!$E879</f>
        <v>204879</v>
      </c>
    </row>
    <row r="880" spans="1:7" x14ac:dyDescent="0.35">
      <c r="A880" s="11">
        <v>45246.911909722221</v>
      </c>
      <c r="B880" s="12" t="s">
        <v>13</v>
      </c>
      <c r="C880" s="12" t="s">
        <v>11</v>
      </c>
      <c r="D880" s="12" t="s">
        <v>16</v>
      </c>
      <c r="E880" s="12">
        <v>3</v>
      </c>
      <c r="F880" s="12">
        <v>30805</v>
      </c>
      <c r="G880" s="13">
        <f>'Data File'!$F880*'Data File'!$E880</f>
        <v>92415</v>
      </c>
    </row>
    <row r="881" spans="1:7" x14ac:dyDescent="0.35">
      <c r="A881" s="14">
        <v>45247.276273148149</v>
      </c>
      <c r="B881" s="15" t="s">
        <v>13</v>
      </c>
      <c r="C881" s="15" t="s">
        <v>9</v>
      </c>
      <c r="D881" s="15" t="s">
        <v>17</v>
      </c>
      <c r="E881" s="15">
        <v>15</v>
      </c>
      <c r="F881" s="15">
        <v>16874</v>
      </c>
      <c r="G881" s="16">
        <f>'Data File'!$F881*'Data File'!$E881</f>
        <v>253110</v>
      </c>
    </row>
    <row r="882" spans="1:7" x14ac:dyDescent="0.35">
      <c r="A882" s="11">
        <v>45247.640636574077</v>
      </c>
      <c r="B882" s="12" t="s">
        <v>13</v>
      </c>
      <c r="C882" s="12" t="s">
        <v>10</v>
      </c>
      <c r="D882" s="12" t="s">
        <v>15</v>
      </c>
      <c r="E882" s="12">
        <v>6</v>
      </c>
      <c r="F882" s="12">
        <v>19079</v>
      </c>
      <c r="G882" s="13">
        <f>'Data File'!$F882*'Data File'!$E882</f>
        <v>114474</v>
      </c>
    </row>
    <row r="883" spans="1:7" x14ac:dyDescent="0.35">
      <c r="A883" s="14">
        <v>45248.004999999997</v>
      </c>
      <c r="B883" s="15" t="s">
        <v>12</v>
      </c>
      <c r="C883" s="15" t="s">
        <v>10</v>
      </c>
      <c r="D883" s="15" t="s">
        <v>16</v>
      </c>
      <c r="E883" s="15">
        <v>17</v>
      </c>
      <c r="F883" s="15">
        <v>54850</v>
      </c>
      <c r="G883" s="16">
        <f>'Data File'!$F883*'Data File'!$E883</f>
        <v>932450</v>
      </c>
    </row>
    <row r="884" spans="1:7" x14ac:dyDescent="0.35">
      <c r="A884" s="11">
        <v>45248.369375000002</v>
      </c>
      <c r="B884" s="12" t="s">
        <v>6</v>
      </c>
      <c r="C884" s="12" t="s">
        <v>21</v>
      </c>
      <c r="D884" s="12" t="s">
        <v>16</v>
      </c>
      <c r="E884" s="12">
        <v>12</v>
      </c>
      <c r="F884" s="12">
        <v>14018</v>
      </c>
      <c r="G884" s="13">
        <f>'Data File'!$F884*'Data File'!$E884</f>
        <v>168216</v>
      </c>
    </row>
    <row r="885" spans="1:7" x14ac:dyDescent="0.35">
      <c r="A885" s="14">
        <v>45248.733738425923</v>
      </c>
      <c r="B885" s="15" t="s">
        <v>7</v>
      </c>
      <c r="C885" s="15" t="s">
        <v>21</v>
      </c>
      <c r="D885" s="15" t="s">
        <v>14</v>
      </c>
      <c r="E885" s="15">
        <v>11</v>
      </c>
      <c r="F885" s="15">
        <v>54500</v>
      </c>
      <c r="G885" s="16">
        <f>'Data File'!$F885*'Data File'!$E885</f>
        <v>599500</v>
      </c>
    </row>
    <row r="886" spans="1:7" x14ac:dyDescent="0.35">
      <c r="A886" s="11">
        <v>45249.098101851851</v>
      </c>
      <c r="B886" s="12" t="s">
        <v>7</v>
      </c>
      <c r="C886" s="12" t="s">
        <v>10</v>
      </c>
      <c r="D886" s="12" t="s">
        <v>15</v>
      </c>
      <c r="E886" s="12">
        <v>4</v>
      </c>
      <c r="F886" s="12">
        <v>17100</v>
      </c>
      <c r="G886" s="13">
        <f>'Data File'!$F886*'Data File'!$E886</f>
        <v>68400</v>
      </c>
    </row>
    <row r="887" spans="1:7" x14ac:dyDescent="0.35">
      <c r="A887" s="14">
        <v>45249.462465277778</v>
      </c>
      <c r="B887" s="15" t="s">
        <v>13</v>
      </c>
      <c r="C887" s="15" t="s">
        <v>9</v>
      </c>
      <c r="D887" s="15" t="s">
        <v>17</v>
      </c>
      <c r="E887" s="15">
        <v>6</v>
      </c>
      <c r="F887" s="15">
        <v>62021</v>
      </c>
      <c r="G887" s="16">
        <f>'Data File'!$F887*'Data File'!$E887</f>
        <v>372126</v>
      </c>
    </row>
    <row r="888" spans="1:7" x14ac:dyDescent="0.35">
      <c r="A888" s="11">
        <v>45249.826828703706</v>
      </c>
      <c r="B888" s="12" t="s">
        <v>13</v>
      </c>
      <c r="C888" s="12" t="s">
        <v>10</v>
      </c>
      <c r="D888" s="12" t="s">
        <v>15</v>
      </c>
      <c r="E888" s="12">
        <v>1</v>
      </c>
      <c r="F888" s="12">
        <v>24800</v>
      </c>
      <c r="G888" s="13">
        <f>'Data File'!$F888*'Data File'!$E888</f>
        <v>24800</v>
      </c>
    </row>
    <row r="889" spans="1:7" x14ac:dyDescent="0.35">
      <c r="A889" s="14">
        <v>45250.191192129627</v>
      </c>
      <c r="B889" s="15" t="s">
        <v>12</v>
      </c>
      <c r="C889" s="15" t="s">
        <v>9</v>
      </c>
      <c r="D889" s="15" t="s">
        <v>16</v>
      </c>
      <c r="E889" s="15">
        <v>16</v>
      </c>
      <c r="F889" s="15">
        <v>68400</v>
      </c>
      <c r="G889" s="16">
        <f>'Data File'!$F889*'Data File'!$E889</f>
        <v>1094400</v>
      </c>
    </row>
    <row r="890" spans="1:7" x14ac:dyDescent="0.35">
      <c r="A890" s="11">
        <v>45250.555555555555</v>
      </c>
      <c r="B890" s="12" t="s">
        <v>7</v>
      </c>
      <c r="C890" s="12" t="s">
        <v>21</v>
      </c>
      <c r="D890" s="12" t="s">
        <v>17</v>
      </c>
      <c r="E890" s="12">
        <v>15</v>
      </c>
      <c r="F890" s="12">
        <v>34437</v>
      </c>
      <c r="G890" s="13">
        <f>'Data File'!$F890*'Data File'!$E890</f>
        <v>516555</v>
      </c>
    </row>
    <row r="891" spans="1:7" x14ac:dyDescent="0.35">
      <c r="A891" s="14">
        <v>45250.919918981483</v>
      </c>
      <c r="B891" s="15" t="s">
        <v>13</v>
      </c>
      <c r="C891" s="15" t="s">
        <v>8</v>
      </c>
      <c r="D891" s="15" t="s">
        <v>18</v>
      </c>
      <c r="E891" s="15">
        <v>17</v>
      </c>
      <c r="F891" s="15">
        <v>51675</v>
      </c>
      <c r="G891" s="16">
        <f>'Data File'!$F891*'Data File'!$E891</f>
        <v>878475</v>
      </c>
    </row>
    <row r="892" spans="1:7" x14ac:dyDescent="0.35">
      <c r="A892" s="11">
        <v>45251.284282407411</v>
      </c>
      <c r="B892" s="12" t="s">
        <v>6</v>
      </c>
      <c r="C892" s="12" t="s">
        <v>21</v>
      </c>
      <c r="D892" s="12" t="s">
        <v>14</v>
      </c>
      <c r="E892" s="12">
        <v>8</v>
      </c>
      <c r="F892" s="12">
        <v>24942</v>
      </c>
      <c r="G892" s="13">
        <f>'Data File'!$F892*'Data File'!$E892</f>
        <v>199536</v>
      </c>
    </row>
    <row r="893" spans="1:7" x14ac:dyDescent="0.35">
      <c r="A893" s="14">
        <v>45251.648645833331</v>
      </c>
      <c r="B893" s="15" t="s">
        <v>6</v>
      </c>
      <c r="C893" s="15" t="s">
        <v>21</v>
      </c>
      <c r="D893" s="15" t="s">
        <v>16</v>
      </c>
      <c r="E893" s="15">
        <v>12</v>
      </c>
      <c r="F893" s="15">
        <v>25862</v>
      </c>
      <c r="G893" s="16">
        <f>'Data File'!$F893*'Data File'!$E893</f>
        <v>310344</v>
      </c>
    </row>
    <row r="894" spans="1:7" x14ac:dyDescent="0.35">
      <c r="A894" s="11">
        <v>45252.013009259259</v>
      </c>
      <c r="B894" s="12" t="s">
        <v>13</v>
      </c>
      <c r="C894" s="12" t="s">
        <v>11</v>
      </c>
      <c r="D894" s="12" t="s">
        <v>19</v>
      </c>
      <c r="E894" s="12">
        <v>10</v>
      </c>
      <c r="F894" s="12">
        <v>16669</v>
      </c>
      <c r="G894" s="13">
        <f>'Data File'!$F894*'Data File'!$E894</f>
        <v>166690</v>
      </c>
    </row>
    <row r="895" spans="1:7" x14ac:dyDescent="0.35">
      <c r="A895" s="14">
        <v>45252.377372685187</v>
      </c>
      <c r="B895" s="15" t="s">
        <v>13</v>
      </c>
      <c r="C895" s="15" t="s">
        <v>11</v>
      </c>
      <c r="D895" s="15" t="s">
        <v>19</v>
      </c>
      <c r="E895" s="15">
        <v>15</v>
      </c>
      <c r="F895" s="15">
        <v>58772</v>
      </c>
      <c r="G895" s="16">
        <f>'Data File'!$F895*'Data File'!$E895</f>
        <v>881580</v>
      </c>
    </row>
    <row r="896" spans="1:7" x14ac:dyDescent="0.35">
      <c r="A896" s="11">
        <v>45252.741736111115</v>
      </c>
      <c r="B896" s="12" t="s">
        <v>7</v>
      </c>
      <c r="C896" s="12" t="s">
        <v>11</v>
      </c>
      <c r="D896" s="12" t="s">
        <v>14</v>
      </c>
      <c r="E896" s="12">
        <v>9</v>
      </c>
      <c r="F896" s="12">
        <v>20916</v>
      </c>
      <c r="G896" s="13">
        <f>'Data File'!$F896*'Data File'!$E896</f>
        <v>188244</v>
      </c>
    </row>
    <row r="897" spans="1:7" x14ac:dyDescent="0.35">
      <c r="A897" s="14">
        <v>45253.106111111112</v>
      </c>
      <c r="B897" s="15" t="s">
        <v>7</v>
      </c>
      <c r="C897" s="15" t="s">
        <v>11</v>
      </c>
      <c r="D897" s="15" t="s">
        <v>18</v>
      </c>
      <c r="E897" s="15">
        <v>2</v>
      </c>
      <c r="F897" s="15">
        <v>15878</v>
      </c>
      <c r="G897" s="16">
        <f>'Data File'!$F897*'Data File'!$E897</f>
        <v>31756</v>
      </c>
    </row>
    <row r="898" spans="1:7" x14ac:dyDescent="0.35">
      <c r="A898" s="11">
        <v>45253.47047453704</v>
      </c>
      <c r="B898" s="12" t="s">
        <v>12</v>
      </c>
      <c r="C898" s="12" t="s">
        <v>9</v>
      </c>
      <c r="D898" s="12" t="s">
        <v>16</v>
      </c>
      <c r="E898" s="12">
        <v>5</v>
      </c>
      <c r="F898" s="12">
        <v>7985</v>
      </c>
      <c r="G898" s="13">
        <f>'Data File'!$F898*'Data File'!$E898</f>
        <v>39925</v>
      </c>
    </row>
    <row r="899" spans="1:7" x14ac:dyDescent="0.35">
      <c r="A899" s="14">
        <v>45253.834837962961</v>
      </c>
      <c r="B899" s="15" t="s">
        <v>7</v>
      </c>
      <c r="C899" s="15" t="s">
        <v>10</v>
      </c>
      <c r="D899" s="15" t="s">
        <v>15</v>
      </c>
      <c r="E899" s="15">
        <v>6</v>
      </c>
      <c r="F899" s="15">
        <v>46235</v>
      </c>
      <c r="G899" s="16">
        <f>'Data File'!$F899*'Data File'!$E899</f>
        <v>277410</v>
      </c>
    </row>
    <row r="900" spans="1:7" x14ac:dyDescent="0.35">
      <c r="A900" s="11">
        <v>45254.199201388888</v>
      </c>
      <c r="B900" s="12" t="s">
        <v>6</v>
      </c>
      <c r="C900" s="12" t="s">
        <v>8</v>
      </c>
      <c r="D900" s="12" t="s">
        <v>14</v>
      </c>
      <c r="E900" s="12">
        <v>7</v>
      </c>
      <c r="F900" s="12">
        <v>23931</v>
      </c>
      <c r="G900" s="13">
        <f>'Data File'!$F900*'Data File'!$E900</f>
        <v>167517</v>
      </c>
    </row>
    <row r="901" spans="1:7" x14ac:dyDescent="0.35">
      <c r="A901" s="14">
        <v>45254.563564814816</v>
      </c>
      <c r="B901" s="15" t="s">
        <v>6</v>
      </c>
      <c r="C901" s="15" t="s">
        <v>21</v>
      </c>
      <c r="D901" s="15" t="s">
        <v>18</v>
      </c>
      <c r="E901" s="15">
        <v>1</v>
      </c>
      <c r="F901" s="15">
        <v>5336</v>
      </c>
      <c r="G901" s="16">
        <f>'Data File'!$F901*'Data File'!$E901</f>
        <v>5336</v>
      </c>
    </row>
    <row r="902" spans="1:7" x14ac:dyDescent="0.35">
      <c r="A902" s="11">
        <v>45254.927928240744</v>
      </c>
      <c r="B902" s="12" t="s">
        <v>13</v>
      </c>
      <c r="C902" s="12" t="s">
        <v>9</v>
      </c>
      <c r="D902" s="12" t="s">
        <v>15</v>
      </c>
      <c r="E902" s="12">
        <v>7</v>
      </c>
      <c r="F902" s="12">
        <v>47933</v>
      </c>
      <c r="G902" s="13">
        <f>'Data File'!$F902*'Data File'!$E902</f>
        <v>335531</v>
      </c>
    </row>
    <row r="903" spans="1:7" x14ac:dyDescent="0.35">
      <c r="A903" s="14">
        <v>45255.292291666665</v>
      </c>
      <c r="B903" s="15" t="s">
        <v>7</v>
      </c>
      <c r="C903" s="15" t="s">
        <v>8</v>
      </c>
      <c r="D903" s="15" t="s">
        <v>19</v>
      </c>
      <c r="E903" s="15">
        <v>12</v>
      </c>
      <c r="F903" s="15">
        <v>50536</v>
      </c>
      <c r="G903" s="16">
        <f>'Data File'!$F903*'Data File'!$E903</f>
        <v>606432</v>
      </c>
    </row>
    <row r="904" spans="1:7" x14ac:dyDescent="0.35">
      <c r="A904" s="11">
        <v>45255.656655092593</v>
      </c>
      <c r="B904" s="12" t="s">
        <v>12</v>
      </c>
      <c r="C904" s="12" t="s">
        <v>9</v>
      </c>
      <c r="D904" s="12" t="s">
        <v>19</v>
      </c>
      <c r="E904" s="12">
        <v>16</v>
      </c>
      <c r="F904" s="12">
        <v>74504</v>
      </c>
      <c r="G904" s="13">
        <f>'Data File'!$F904*'Data File'!$E904</f>
        <v>1192064</v>
      </c>
    </row>
    <row r="905" spans="1:7" x14ac:dyDescent="0.35">
      <c r="A905" s="14">
        <v>45256.021018518521</v>
      </c>
      <c r="B905" s="15" t="s">
        <v>6</v>
      </c>
      <c r="C905" s="15" t="s">
        <v>9</v>
      </c>
      <c r="D905" s="15" t="s">
        <v>15</v>
      </c>
      <c r="E905" s="15">
        <v>16</v>
      </c>
      <c r="F905" s="15">
        <v>56148</v>
      </c>
      <c r="G905" s="16">
        <f>'Data File'!$F905*'Data File'!$E905</f>
        <v>898368</v>
      </c>
    </row>
    <row r="906" spans="1:7" x14ac:dyDescent="0.35">
      <c r="A906" s="11">
        <v>45256.385381944441</v>
      </c>
      <c r="B906" s="12" t="s">
        <v>6</v>
      </c>
      <c r="C906" s="12" t="s">
        <v>21</v>
      </c>
      <c r="D906" s="12" t="s">
        <v>14</v>
      </c>
      <c r="E906" s="12">
        <v>11</v>
      </c>
      <c r="F906" s="12">
        <v>21279</v>
      </c>
      <c r="G906" s="13">
        <f>'Data File'!$F906*'Data File'!$E906</f>
        <v>234069</v>
      </c>
    </row>
    <row r="907" spans="1:7" x14ac:dyDescent="0.35">
      <c r="A907" s="14">
        <v>45256.749745370369</v>
      </c>
      <c r="B907" s="15" t="s">
        <v>12</v>
      </c>
      <c r="C907" s="15" t="s">
        <v>10</v>
      </c>
      <c r="D907" s="15" t="s">
        <v>19</v>
      </c>
      <c r="E907" s="15">
        <v>4</v>
      </c>
      <c r="F907" s="15">
        <v>73665</v>
      </c>
      <c r="G907" s="16">
        <f>'Data File'!$F907*'Data File'!$E907</f>
        <v>294660</v>
      </c>
    </row>
    <row r="908" spans="1:7" x14ac:dyDescent="0.35">
      <c r="A908" s="11">
        <v>45257.114108796297</v>
      </c>
      <c r="B908" s="12" t="s">
        <v>12</v>
      </c>
      <c r="C908" s="12" t="s">
        <v>11</v>
      </c>
      <c r="D908" s="12" t="s">
        <v>16</v>
      </c>
      <c r="E908" s="12">
        <v>13</v>
      </c>
      <c r="F908" s="12">
        <v>71670</v>
      </c>
      <c r="G908" s="13">
        <f>'Data File'!$F908*'Data File'!$E908</f>
        <v>931710</v>
      </c>
    </row>
    <row r="909" spans="1:7" x14ac:dyDescent="0.35">
      <c r="A909" s="14">
        <v>45257.478483796294</v>
      </c>
      <c r="B909" s="15" t="s">
        <v>6</v>
      </c>
      <c r="C909" s="15" t="s">
        <v>10</v>
      </c>
      <c r="D909" s="15" t="s">
        <v>17</v>
      </c>
      <c r="E909" s="15">
        <v>7</v>
      </c>
      <c r="F909" s="15">
        <v>59028</v>
      </c>
      <c r="G909" s="16">
        <f>'Data File'!$F909*'Data File'!$E909</f>
        <v>413196</v>
      </c>
    </row>
    <row r="910" spans="1:7" x14ac:dyDescent="0.35">
      <c r="A910" s="11">
        <v>45257.842847222222</v>
      </c>
      <c r="B910" s="12" t="s">
        <v>6</v>
      </c>
      <c r="C910" s="12" t="s">
        <v>21</v>
      </c>
      <c r="D910" s="12" t="s">
        <v>15</v>
      </c>
      <c r="E910" s="12">
        <v>4</v>
      </c>
      <c r="F910" s="12">
        <v>23108</v>
      </c>
      <c r="G910" s="13">
        <f>'Data File'!$F910*'Data File'!$E910</f>
        <v>92432</v>
      </c>
    </row>
    <row r="911" spans="1:7" x14ac:dyDescent="0.35">
      <c r="A911" s="14">
        <v>45258.20721064815</v>
      </c>
      <c r="B911" s="15" t="s">
        <v>12</v>
      </c>
      <c r="C911" s="15" t="s">
        <v>21</v>
      </c>
      <c r="D911" s="15" t="s">
        <v>15</v>
      </c>
      <c r="E911" s="15">
        <v>15</v>
      </c>
      <c r="F911" s="15">
        <v>57495</v>
      </c>
      <c r="G911" s="16">
        <f>'Data File'!$F911*'Data File'!$E911</f>
        <v>862425</v>
      </c>
    </row>
    <row r="912" spans="1:7" x14ac:dyDescent="0.35">
      <c r="A912" s="11">
        <v>45258.571574074071</v>
      </c>
      <c r="B912" s="12" t="s">
        <v>6</v>
      </c>
      <c r="C912" s="12" t="s">
        <v>21</v>
      </c>
      <c r="D912" s="12" t="s">
        <v>19</v>
      </c>
      <c r="E912" s="12">
        <v>19</v>
      </c>
      <c r="F912" s="12">
        <v>61830</v>
      </c>
      <c r="G912" s="13">
        <f>'Data File'!$F912*'Data File'!$E912</f>
        <v>1174770</v>
      </c>
    </row>
    <row r="913" spans="1:7" x14ac:dyDescent="0.35">
      <c r="A913" s="14">
        <v>45258.935937499999</v>
      </c>
      <c r="B913" s="15" t="s">
        <v>13</v>
      </c>
      <c r="C913" s="15" t="s">
        <v>8</v>
      </c>
      <c r="D913" s="15" t="s">
        <v>14</v>
      </c>
      <c r="E913" s="15">
        <v>9</v>
      </c>
      <c r="F913" s="15">
        <v>57509</v>
      </c>
      <c r="G913" s="16">
        <f>'Data File'!$F913*'Data File'!$E913</f>
        <v>517581</v>
      </c>
    </row>
    <row r="914" spans="1:7" x14ac:dyDescent="0.35">
      <c r="A914" s="11">
        <v>45259.300300925926</v>
      </c>
      <c r="B914" s="12" t="s">
        <v>13</v>
      </c>
      <c r="C914" s="12" t="s">
        <v>10</v>
      </c>
      <c r="D914" s="12" t="s">
        <v>16</v>
      </c>
      <c r="E914" s="12">
        <v>11</v>
      </c>
      <c r="F914" s="12">
        <v>71406</v>
      </c>
      <c r="G914" s="13">
        <f>'Data File'!$F914*'Data File'!$E914</f>
        <v>785466</v>
      </c>
    </row>
    <row r="915" spans="1:7" x14ac:dyDescent="0.35">
      <c r="A915" s="14">
        <v>45259.664664351854</v>
      </c>
      <c r="B915" s="15" t="s">
        <v>12</v>
      </c>
      <c r="C915" s="15" t="s">
        <v>10</v>
      </c>
      <c r="D915" s="15" t="s">
        <v>14</v>
      </c>
      <c r="E915" s="15">
        <v>8</v>
      </c>
      <c r="F915" s="15">
        <v>44519</v>
      </c>
      <c r="G915" s="16">
        <f>'Data File'!$F915*'Data File'!$E915</f>
        <v>356152</v>
      </c>
    </row>
    <row r="916" spans="1:7" x14ac:dyDescent="0.35">
      <c r="A916" s="11">
        <v>45260.029027777775</v>
      </c>
      <c r="B916" s="12" t="s">
        <v>7</v>
      </c>
      <c r="C916" s="12" t="s">
        <v>9</v>
      </c>
      <c r="D916" s="12" t="s">
        <v>18</v>
      </c>
      <c r="E916" s="12">
        <v>1</v>
      </c>
      <c r="F916" s="12">
        <v>54649</v>
      </c>
      <c r="G916" s="13">
        <f>'Data File'!$F916*'Data File'!$E916</f>
        <v>54649</v>
      </c>
    </row>
    <row r="917" spans="1:7" x14ac:dyDescent="0.35">
      <c r="A917" s="14">
        <v>45260.393391203703</v>
      </c>
      <c r="B917" s="15" t="s">
        <v>12</v>
      </c>
      <c r="C917" s="15" t="s">
        <v>9</v>
      </c>
      <c r="D917" s="15" t="s">
        <v>18</v>
      </c>
      <c r="E917" s="15">
        <v>8</v>
      </c>
      <c r="F917" s="15">
        <v>39524</v>
      </c>
      <c r="G917" s="16">
        <f>'Data File'!$F917*'Data File'!$E917</f>
        <v>316192</v>
      </c>
    </row>
    <row r="918" spans="1:7" x14ac:dyDescent="0.35">
      <c r="A918" s="11">
        <v>45260.757754629631</v>
      </c>
      <c r="B918" s="12" t="s">
        <v>12</v>
      </c>
      <c r="C918" s="12" t="s">
        <v>9</v>
      </c>
      <c r="D918" s="12" t="s">
        <v>17</v>
      </c>
      <c r="E918" s="12">
        <v>13</v>
      </c>
      <c r="F918" s="12">
        <v>38885</v>
      </c>
      <c r="G918" s="13">
        <f>'Data File'!$F918*'Data File'!$E918</f>
        <v>505505</v>
      </c>
    </row>
    <row r="919" spans="1:7" x14ac:dyDescent="0.35">
      <c r="A919" s="14">
        <v>45261.122118055559</v>
      </c>
      <c r="B919" s="15" t="s">
        <v>7</v>
      </c>
      <c r="C919" s="15" t="s">
        <v>21</v>
      </c>
      <c r="D919" s="15" t="s">
        <v>19</v>
      </c>
      <c r="E919" s="15">
        <v>4</v>
      </c>
      <c r="F919" s="15">
        <v>49369</v>
      </c>
      <c r="G919" s="16">
        <f>'Data File'!$F919*'Data File'!$E919</f>
        <v>197476</v>
      </c>
    </row>
    <row r="920" spans="1:7" x14ac:dyDescent="0.35">
      <c r="A920" s="11">
        <v>45261.486481481479</v>
      </c>
      <c r="B920" s="12" t="s">
        <v>7</v>
      </c>
      <c r="C920" s="12" t="s">
        <v>10</v>
      </c>
      <c r="D920" s="12" t="s">
        <v>19</v>
      </c>
      <c r="E920" s="12">
        <v>8</v>
      </c>
      <c r="F920" s="12">
        <v>35676</v>
      </c>
      <c r="G920" s="13">
        <f>'Data File'!$F920*'Data File'!$E920</f>
        <v>285408</v>
      </c>
    </row>
    <row r="921" spans="1:7" x14ac:dyDescent="0.35">
      <c r="A921" s="14">
        <v>45261.850856481484</v>
      </c>
      <c r="B921" s="15" t="s">
        <v>7</v>
      </c>
      <c r="C921" s="15" t="s">
        <v>21</v>
      </c>
      <c r="D921" s="15" t="s">
        <v>19</v>
      </c>
      <c r="E921" s="15">
        <v>3</v>
      </c>
      <c r="F921" s="15">
        <v>69093</v>
      </c>
      <c r="G921" s="16">
        <f>'Data File'!$F921*'Data File'!$E921</f>
        <v>207279</v>
      </c>
    </row>
    <row r="922" spans="1:7" x14ac:dyDescent="0.35">
      <c r="A922" s="11">
        <v>45262.215219907404</v>
      </c>
      <c r="B922" s="12" t="s">
        <v>13</v>
      </c>
      <c r="C922" s="12" t="s">
        <v>8</v>
      </c>
      <c r="D922" s="12" t="s">
        <v>17</v>
      </c>
      <c r="E922" s="12">
        <v>9</v>
      </c>
      <c r="F922" s="12">
        <v>52764</v>
      </c>
      <c r="G922" s="13">
        <f>'Data File'!$F922*'Data File'!$E922</f>
        <v>474876</v>
      </c>
    </row>
    <row r="923" spans="1:7" x14ac:dyDescent="0.35">
      <c r="A923" s="14">
        <v>45262.579583333332</v>
      </c>
      <c r="B923" s="15" t="s">
        <v>6</v>
      </c>
      <c r="C923" s="15" t="s">
        <v>9</v>
      </c>
      <c r="D923" s="15" t="s">
        <v>18</v>
      </c>
      <c r="E923" s="15">
        <v>2</v>
      </c>
      <c r="F923" s="15">
        <v>55799</v>
      </c>
      <c r="G923" s="16">
        <f>'Data File'!$F923*'Data File'!$E923</f>
        <v>111598</v>
      </c>
    </row>
    <row r="924" spans="1:7" x14ac:dyDescent="0.35">
      <c r="A924" s="11">
        <v>45262.94394675926</v>
      </c>
      <c r="B924" s="12" t="s">
        <v>13</v>
      </c>
      <c r="C924" s="12" t="s">
        <v>21</v>
      </c>
      <c r="D924" s="12" t="s">
        <v>14</v>
      </c>
      <c r="E924" s="12">
        <v>2</v>
      </c>
      <c r="F924" s="12">
        <v>36923</v>
      </c>
      <c r="G924" s="13">
        <f>'Data File'!$F924*'Data File'!$E924</f>
        <v>73846</v>
      </c>
    </row>
    <row r="925" spans="1:7" x14ac:dyDescent="0.35">
      <c r="A925" s="14">
        <v>45263.308310185188</v>
      </c>
      <c r="B925" s="15" t="s">
        <v>6</v>
      </c>
      <c r="C925" s="15" t="s">
        <v>21</v>
      </c>
      <c r="D925" s="15" t="s">
        <v>17</v>
      </c>
      <c r="E925" s="15">
        <v>13</v>
      </c>
      <c r="F925" s="15">
        <v>52574</v>
      </c>
      <c r="G925" s="16">
        <f>'Data File'!$F925*'Data File'!$E925</f>
        <v>683462</v>
      </c>
    </row>
    <row r="926" spans="1:7" x14ac:dyDescent="0.35">
      <c r="A926" s="11">
        <v>45263.672673611109</v>
      </c>
      <c r="B926" s="12" t="s">
        <v>13</v>
      </c>
      <c r="C926" s="12" t="s">
        <v>8</v>
      </c>
      <c r="D926" s="12" t="s">
        <v>17</v>
      </c>
      <c r="E926" s="12">
        <v>15</v>
      </c>
      <c r="F926" s="12">
        <v>48391</v>
      </c>
      <c r="G926" s="13">
        <f>'Data File'!$F926*'Data File'!$E926</f>
        <v>725865</v>
      </c>
    </row>
    <row r="927" spans="1:7" x14ac:dyDescent="0.35">
      <c r="A927" s="14">
        <v>45264.037037037036</v>
      </c>
      <c r="B927" s="15" t="s">
        <v>6</v>
      </c>
      <c r="C927" s="15" t="s">
        <v>11</v>
      </c>
      <c r="D927" s="15" t="s">
        <v>14</v>
      </c>
      <c r="E927" s="15">
        <v>12</v>
      </c>
      <c r="F927" s="15">
        <v>58664</v>
      </c>
      <c r="G927" s="16">
        <f>'Data File'!$F927*'Data File'!$E927</f>
        <v>703968</v>
      </c>
    </row>
    <row r="928" spans="1:7" x14ac:dyDescent="0.35">
      <c r="A928" s="11">
        <v>45264.401400462964</v>
      </c>
      <c r="B928" s="12" t="s">
        <v>13</v>
      </c>
      <c r="C928" s="12" t="s">
        <v>10</v>
      </c>
      <c r="D928" s="12" t="s">
        <v>19</v>
      </c>
      <c r="E928" s="12">
        <v>4</v>
      </c>
      <c r="F928" s="12">
        <v>72384</v>
      </c>
      <c r="G928" s="13">
        <f>'Data File'!$F928*'Data File'!$E928</f>
        <v>289536</v>
      </c>
    </row>
    <row r="929" spans="1:7" x14ac:dyDescent="0.35">
      <c r="A929" s="14">
        <v>45264.765763888892</v>
      </c>
      <c r="B929" s="15" t="s">
        <v>7</v>
      </c>
      <c r="C929" s="15" t="s">
        <v>11</v>
      </c>
      <c r="D929" s="15" t="s">
        <v>16</v>
      </c>
      <c r="E929" s="15">
        <v>8</v>
      </c>
      <c r="F929" s="15">
        <v>36027</v>
      </c>
      <c r="G929" s="16">
        <f>'Data File'!$F929*'Data File'!$E929</f>
        <v>288216</v>
      </c>
    </row>
    <row r="930" spans="1:7" x14ac:dyDescent="0.35">
      <c r="A930" s="11">
        <v>45265.130127314813</v>
      </c>
      <c r="B930" s="12" t="s">
        <v>12</v>
      </c>
      <c r="C930" s="12" t="s">
        <v>9</v>
      </c>
      <c r="D930" s="12" t="s">
        <v>14</v>
      </c>
      <c r="E930" s="12">
        <v>9</v>
      </c>
      <c r="F930" s="12">
        <v>40464</v>
      </c>
      <c r="G930" s="13">
        <f>'Data File'!$F930*'Data File'!$E930</f>
        <v>364176</v>
      </c>
    </row>
    <row r="931" spans="1:7" x14ac:dyDescent="0.35">
      <c r="A931" s="14">
        <v>45265.494490740741</v>
      </c>
      <c r="B931" s="15" t="s">
        <v>13</v>
      </c>
      <c r="C931" s="15" t="s">
        <v>21</v>
      </c>
      <c r="D931" s="15" t="s">
        <v>18</v>
      </c>
      <c r="E931" s="15">
        <v>5</v>
      </c>
      <c r="F931" s="15">
        <v>39485</v>
      </c>
      <c r="G931" s="16">
        <f>'Data File'!$F931*'Data File'!$E931</f>
        <v>197425</v>
      </c>
    </row>
    <row r="932" spans="1:7" x14ac:dyDescent="0.35">
      <c r="A932" s="11">
        <v>45265.858854166669</v>
      </c>
      <c r="B932" s="12" t="s">
        <v>6</v>
      </c>
      <c r="C932" s="12" t="s">
        <v>8</v>
      </c>
      <c r="D932" s="12" t="s">
        <v>15</v>
      </c>
      <c r="E932" s="12">
        <v>18</v>
      </c>
      <c r="F932" s="12">
        <v>24456</v>
      </c>
      <c r="G932" s="13">
        <f>'Data File'!$F932*'Data File'!$E932</f>
        <v>440208</v>
      </c>
    </row>
    <row r="933" spans="1:7" x14ac:dyDescent="0.35">
      <c r="A933" s="14">
        <v>45266.223217592589</v>
      </c>
      <c r="B933" s="15" t="s">
        <v>7</v>
      </c>
      <c r="C933" s="15" t="s">
        <v>8</v>
      </c>
      <c r="D933" s="15" t="s">
        <v>15</v>
      </c>
      <c r="E933" s="15">
        <v>11</v>
      </c>
      <c r="F933" s="15">
        <v>40554</v>
      </c>
      <c r="G933" s="16">
        <f>'Data File'!$F933*'Data File'!$E933</f>
        <v>446094</v>
      </c>
    </row>
    <row r="934" spans="1:7" x14ac:dyDescent="0.35">
      <c r="A934" s="11">
        <v>45266.587592592594</v>
      </c>
      <c r="B934" s="12" t="s">
        <v>13</v>
      </c>
      <c r="C934" s="12" t="s">
        <v>10</v>
      </c>
      <c r="D934" s="12" t="s">
        <v>17</v>
      </c>
      <c r="E934" s="12">
        <v>15</v>
      </c>
      <c r="F934" s="12">
        <v>51922</v>
      </c>
      <c r="G934" s="13">
        <f>'Data File'!$F934*'Data File'!$E934</f>
        <v>778830</v>
      </c>
    </row>
    <row r="935" spans="1:7" x14ac:dyDescent="0.35">
      <c r="A935" s="14">
        <v>45266.951956018522</v>
      </c>
      <c r="B935" s="15" t="s">
        <v>13</v>
      </c>
      <c r="C935" s="15" t="s">
        <v>11</v>
      </c>
      <c r="D935" s="15" t="s">
        <v>15</v>
      </c>
      <c r="E935" s="15">
        <v>9</v>
      </c>
      <c r="F935" s="15">
        <v>18409</v>
      </c>
      <c r="G935" s="16">
        <f>'Data File'!$F935*'Data File'!$E935</f>
        <v>165681</v>
      </c>
    </row>
    <row r="936" spans="1:7" x14ac:dyDescent="0.35">
      <c r="A936" s="11">
        <v>45267.316319444442</v>
      </c>
      <c r="B936" s="12" t="s">
        <v>7</v>
      </c>
      <c r="C936" s="12" t="s">
        <v>10</v>
      </c>
      <c r="D936" s="12" t="s">
        <v>16</v>
      </c>
      <c r="E936" s="12">
        <v>17</v>
      </c>
      <c r="F936" s="12">
        <v>74327</v>
      </c>
      <c r="G936" s="13">
        <f>'Data File'!$F936*'Data File'!$E936</f>
        <v>1263559</v>
      </c>
    </row>
    <row r="937" spans="1:7" x14ac:dyDescent="0.35">
      <c r="A937" s="14">
        <v>45267.68068287037</v>
      </c>
      <c r="B937" s="15" t="s">
        <v>13</v>
      </c>
      <c r="C937" s="15" t="s">
        <v>21</v>
      </c>
      <c r="D937" s="15" t="s">
        <v>19</v>
      </c>
      <c r="E937" s="15">
        <v>12</v>
      </c>
      <c r="F937" s="15">
        <v>41639</v>
      </c>
      <c r="G937" s="16">
        <f>'Data File'!$F937*'Data File'!$E937</f>
        <v>499668</v>
      </c>
    </row>
    <row r="938" spans="1:7" x14ac:dyDescent="0.35">
      <c r="A938" s="11">
        <v>45268.045046296298</v>
      </c>
      <c r="B938" s="12" t="s">
        <v>12</v>
      </c>
      <c r="C938" s="12" t="s">
        <v>10</v>
      </c>
      <c r="D938" s="12" t="s">
        <v>18</v>
      </c>
      <c r="E938" s="12">
        <v>7</v>
      </c>
      <c r="F938" s="12">
        <v>68627</v>
      </c>
      <c r="G938" s="13">
        <f>'Data File'!$F938*'Data File'!$E938</f>
        <v>480389</v>
      </c>
    </row>
    <row r="939" spans="1:7" x14ac:dyDescent="0.35">
      <c r="A939" s="14">
        <v>45268.409409722219</v>
      </c>
      <c r="B939" s="15" t="s">
        <v>13</v>
      </c>
      <c r="C939" s="15" t="s">
        <v>8</v>
      </c>
      <c r="D939" s="15" t="s">
        <v>16</v>
      </c>
      <c r="E939" s="15">
        <v>10</v>
      </c>
      <c r="F939" s="15">
        <v>24692</v>
      </c>
      <c r="G939" s="16">
        <f>'Data File'!$F939*'Data File'!$E939</f>
        <v>246920</v>
      </c>
    </row>
    <row r="940" spans="1:7" x14ac:dyDescent="0.35">
      <c r="A940" s="11">
        <v>45268.773773148147</v>
      </c>
      <c r="B940" s="12" t="s">
        <v>12</v>
      </c>
      <c r="C940" s="12" t="s">
        <v>8</v>
      </c>
      <c r="D940" s="12" t="s">
        <v>18</v>
      </c>
      <c r="E940" s="12">
        <v>10</v>
      </c>
      <c r="F940" s="12">
        <v>59200</v>
      </c>
      <c r="G940" s="13">
        <f>'Data File'!$F940*'Data File'!$E940</f>
        <v>592000</v>
      </c>
    </row>
    <row r="941" spans="1:7" x14ac:dyDescent="0.35">
      <c r="A941" s="14">
        <v>45269.138136574074</v>
      </c>
      <c r="B941" s="15" t="s">
        <v>12</v>
      </c>
      <c r="C941" s="15" t="s">
        <v>9</v>
      </c>
      <c r="D941" s="15" t="s">
        <v>18</v>
      </c>
      <c r="E941" s="15">
        <v>13</v>
      </c>
      <c r="F941" s="15">
        <v>62415</v>
      </c>
      <c r="G941" s="16">
        <f>'Data File'!$F941*'Data File'!$E941</f>
        <v>811395</v>
      </c>
    </row>
    <row r="942" spans="1:7" x14ac:dyDescent="0.35">
      <c r="A942" s="11">
        <v>45269.502500000002</v>
      </c>
      <c r="B942" s="12" t="s">
        <v>7</v>
      </c>
      <c r="C942" s="12" t="s">
        <v>9</v>
      </c>
      <c r="D942" s="12" t="s">
        <v>19</v>
      </c>
      <c r="E942" s="12">
        <v>19</v>
      </c>
      <c r="F942" s="12">
        <v>23074</v>
      </c>
      <c r="G942" s="13">
        <f>'Data File'!$F942*'Data File'!$E942</f>
        <v>438406</v>
      </c>
    </row>
    <row r="943" spans="1:7" x14ac:dyDescent="0.35">
      <c r="A943" s="14">
        <v>45269.866863425923</v>
      </c>
      <c r="B943" s="15" t="s">
        <v>13</v>
      </c>
      <c r="C943" s="15" t="s">
        <v>21</v>
      </c>
      <c r="D943" s="15" t="s">
        <v>17</v>
      </c>
      <c r="E943" s="15">
        <v>11</v>
      </c>
      <c r="F943" s="15">
        <v>20549</v>
      </c>
      <c r="G943" s="16">
        <f>'Data File'!$F943*'Data File'!$E943</f>
        <v>226039</v>
      </c>
    </row>
    <row r="944" spans="1:7" x14ac:dyDescent="0.35">
      <c r="A944" s="11">
        <v>45270.231226851851</v>
      </c>
      <c r="B944" s="12" t="s">
        <v>7</v>
      </c>
      <c r="C944" s="12" t="s">
        <v>11</v>
      </c>
      <c r="D944" s="12" t="s">
        <v>15</v>
      </c>
      <c r="E944" s="12">
        <v>13</v>
      </c>
      <c r="F944" s="12">
        <v>34963</v>
      </c>
      <c r="G944" s="13">
        <f>'Data File'!$F944*'Data File'!$E944</f>
        <v>454519</v>
      </c>
    </row>
    <row r="945" spans="1:7" x14ac:dyDescent="0.35">
      <c r="A945" s="14">
        <v>45270.595590277779</v>
      </c>
      <c r="B945" s="15" t="s">
        <v>13</v>
      </c>
      <c r="C945" s="15" t="s">
        <v>10</v>
      </c>
      <c r="D945" s="15" t="s">
        <v>19</v>
      </c>
      <c r="E945" s="15">
        <v>8</v>
      </c>
      <c r="F945" s="15">
        <v>57265</v>
      </c>
      <c r="G945" s="16">
        <f>'Data File'!$F945*'Data File'!$E945</f>
        <v>458120</v>
      </c>
    </row>
    <row r="946" spans="1:7" x14ac:dyDescent="0.35">
      <c r="A946" s="11">
        <v>45270.959965277776</v>
      </c>
      <c r="B946" s="12" t="s">
        <v>13</v>
      </c>
      <c r="C946" s="12" t="s">
        <v>21</v>
      </c>
      <c r="D946" s="12" t="s">
        <v>16</v>
      </c>
      <c r="E946" s="12">
        <v>8</v>
      </c>
      <c r="F946" s="12">
        <v>21061</v>
      </c>
      <c r="G946" s="13">
        <f>'Data File'!$F946*'Data File'!$E946</f>
        <v>168488</v>
      </c>
    </row>
    <row r="947" spans="1:7" x14ac:dyDescent="0.35">
      <c r="A947" s="14">
        <v>45271.324328703704</v>
      </c>
      <c r="B947" s="15" t="s">
        <v>6</v>
      </c>
      <c r="C947" s="15" t="s">
        <v>9</v>
      </c>
      <c r="D947" s="15" t="s">
        <v>17</v>
      </c>
      <c r="E947" s="15">
        <v>4</v>
      </c>
      <c r="F947" s="15">
        <v>63226</v>
      </c>
      <c r="G947" s="16">
        <f>'Data File'!$F947*'Data File'!$E947</f>
        <v>252904</v>
      </c>
    </row>
    <row r="948" spans="1:7" x14ac:dyDescent="0.35">
      <c r="A948" s="11">
        <v>45271.688692129632</v>
      </c>
      <c r="B948" s="12" t="s">
        <v>13</v>
      </c>
      <c r="C948" s="12" t="s">
        <v>10</v>
      </c>
      <c r="D948" s="12" t="s">
        <v>16</v>
      </c>
      <c r="E948" s="12">
        <v>15</v>
      </c>
      <c r="F948" s="12">
        <v>33810</v>
      </c>
      <c r="G948" s="13">
        <f>'Data File'!$F948*'Data File'!$E948</f>
        <v>507150</v>
      </c>
    </row>
    <row r="949" spans="1:7" x14ac:dyDescent="0.35">
      <c r="A949" s="14">
        <v>45272.053055555552</v>
      </c>
      <c r="B949" s="15" t="s">
        <v>7</v>
      </c>
      <c r="C949" s="15" t="s">
        <v>9</v>
      </c>
      <c r="D949" s="15" t="s">
        <v>17</v>
      </c>
      <c r="E949" s="15">
        <v>11</v>
      </c>
      <c r="F949" s="15">
        <v>65006</v>
      </c>
      <c r="G949" s="16">
        <f>'Data File'!$F949*'Data File'!$E949</f>
        <v>715066</v>
      </c>
    </row>
    <row r="950" spans="1:7" x14ac:dyDescent="0.35">
      <c r="A950" s="11">
        <v>45272.41741898148</v>
      </c>
      <c r="B950" s="12" t="s">
        <v>12</v>
      </c>
      <c r="C950" s="12" t="s">
        <v>10</v>
      </c>
      <c r="D950" s="12" t="s">
        <v>16</v>
      </c>
      <c r="E950" s="12">
        <v>11</v>
      </c>
      <c r="F950" s="12">
        <v>27800</v>
      </c>
      <c r="G950" s="13">
        <f>'Data File'!$F950*'Data File'!$E950</f>
        <v>305800</v>
      </c>
    </row>
    <row r="951" spans="1:7" x14ac:dyDescent="0.35">
      <c r="A951" s="14">
        <v>45272.781782407408</v>
      </c>
      <c r="B951" s="15" t="s">
        <v>13</v>
      </c>
      <c r="C951" s="15" t="s">
        <v>11</v>
      </c>
      <c r="D951" s="15" t="s">
        <v>19</v>
      </c>
      <c r="E951" s="15">
        <v>1</v>
      </c>
      <c r="F951" s="15">
        <v>74460</v>
      </c>
      <c r="G951" s="16">
        <f>'Data File'!$F951*'Data File'!$E951</f>
        <v>74460</v>
      </c>
    </row>
    <row r="952" spans="1:7" x14ac:dyDescent="0.35">
      <c r="A952" s="11">
        <v>45273.146145833336</v>
      </c>
      <c r="B952" s="12" t="s">
        <v>6</v>
      </c>
      <c r="C952" s="12" t="s">
        <v>21</v>
      </c>
      <c r="D952" s="12" t="s">
        <v>17</v>
      </c>
      <c r="E952" s="12">
        <v>17</v>
      </c>
      <c r="F952" s="12">
        <v>62767</v>
      </c>
      <c r="G952" s="13">
        <f>'Data File'!$F952*'Data File'!$E952</f>
        <v>1067039</v>
      </c>
    </row>
    <row r="953" spans="1:7" x14ac:dyDescent="0.35">
      <c r="A953" s="14">
        <v>45273.510509259257</v>
      </c>
      <c r="B953" s="15" t="s">
        <v>7</v>
      </c>
      <c r="C953" s="15" t="s">
        <v>10</v>
      </c>
      <c r="D953" s="15" t="s">
        <v>17</v>
      </c>
      <c r="E953" s="15">
        <v>15</v>
      </c>
      <c r="F953" s="15">
        <v>33054</v>
      </c>
      <c r="G953" s="16">
        <f>'Data File'!$F953*'Data File'!$E953</f>
        <v>495810</v>
      </c>
    </row>
    <row r="954" spans="1:7" x14ac:dyDescent="0.35">
      <c r="A954" s="11">
        <v>45273.874872685185</v>
      </c>
      <c r="B954" s="12" t="s">
        <v>13</v>
      </c>
      <c r="C954" s="12" t="s">
        <v>8</v>
      </c>
      <c r="D954" s="12" t="s">
        <v>18</v>
      </c>
      <c r="E954" s="12">
        <v>6</v>
      </c>
      <c r="F954" s="12">
        <v>50397</v>
      </c>
      <c r="G954" s="13">
        <f>'Data File'!$F954*'Data File'!$E954</f>
        <v>302382</v>
      </c>
    </row>
    <row r="955" spans="1:7" x14ac:dyDescent="0.35">
      <c r="A955" s="14">
        <v>45274.239236111112</v>
      </c>
      <c r="B955" s="15" t="s">
        <v>7</v>
      </c>
      <c r="C955" s="15" t="s">
        <v>8</v>
      </c>
      <c r="D955" s="15" t="s">
        <v>18</v>
      </c>
      <c r="E955" s="15">
        <v>15</v>
      </c>
      <c r="F955" s="15">
        <v>18233</v>
      </c>
      <c r="G955" s="16">
        <f>'Data File'!$F955*'Data File'!$E955</f>
        <v>273495</v>
      </c>
    </row>
    <row r="956" spans="1:7" x14ac:dyDescent="0.35">
      <c r="A956" s="11">
        <v>45274.60359953704</v>
      </c>
      <c r="B956" s="12" t="s">
        <v>6</v>
      </c>
      <c r="C956" s="12" t="s">
        <v>10</v>
      </c>
      <c r="D956" s="12" t="s">
        <v>14</v>
      </c>
      <c r="E956" s="12">
        <v>9</v>
      </c>
      <c r="F956" s="12">
        <v>30068</v>
      </c>
      <c r="G956" s="13">
        <f>'Data File'!$F956*'Data File'!$E956</f>
        <v>270612</v>
      </c>
    </row>
    <row r="957" spans="1:7" x14ac:dyDescent="0.35">
      <c r="A957" s="14">
        <v>45274.967962962961</v>
      </c>
      <c r="B957" s="15" t="s">
        <v>6</v>
      </c>
      <c r="C957" s="15" t="s">
        <v>10</v>
      </c>
      <c r="D957" s="15" t="s">
        <v>16</v>
      </c>
      <c r="E957" s="15">
        <v>14</v>
      </c>
      <c r="F957" s="15">
        <v>70727</v>
      </c>
      <c r="G957" s="16">
        <f>'Data File'!$F957*'Data File'!$E957</f>
        <v>990178</v>
      </c>
    </row>
    <row r="958" spans="1:7" x14ac:dyDescent="0.35">
      <c r="A958" s="11">
        <v>45275.332337962966</v>
      </c>
      <c r="B958" s="12" t="s">
        <v>7</v>
      </c>
      <c r="C958" s="12" t="s">
        <v>10</v>
      </c>
      <c r="D958" s="12" t="s">
        <v>18</v>
      </c>
      <c r="E958" s="12">
        <v>18</v>
      </c>
      <c r="F958" s="12">
        <v>30832</v>
      </c>
      <c r="G958" s="13">
        <f>'Data File'!$F958*'Data File'!$E958</f>
        <v>554976</v>
      </c>
    </row>
    <row r="959" spans="1:7" x14ac:dyDescent="0.35">
      <c r="A959" s="14">
        <v>45275.696701388886</v>
      </c>
      <c r="B959" s="15" t="s">
        <v>13</v>
      </c>
      <c r="C959" s="15" t="s">
        <v>8</v>
      </c>
      <c r="D959" s="15" t="s">
        <v>14</v>
      </c>
      <c r="E959" s="15">
        <v>17</v>
      </c>
      <c r="F959" s="15">
        <v>18682</v>
      </c>
      <c r="G959" s="16">
        <f>'Data File'!$F959*'Data File'!$E959</f>
        <v>317594</v>
      </c>
    </row>
    <row r="960" spans="1:7" x14ac:dyDescent="0.35">
      <c r="A960" s="11">
        <v>45276.061064814814</v>
      </c>
      <c r="B960" s="12" t="s">
        <v>12</v>
      </c>
      <c r="C960" s="12" t="s">
        <v>8</v>
      </c>
      <c r="D960" s="12" t="s">
        <v>18</v>
      </c>
      <c r="E960" s="12">
        <v>18</v>
      </c>
      <c r="F960" s="12">
        <v>28383</v>
      </c>
      <c r="G960" s="13">
        <f>'Data File'!$F960*'Data File'!$E960</f>
        <v>510894</v>
      </c>
    </row>
    <row r="961" spans="1:7" x14ac:dyDescent="0.35">
      <c r="A961" s="14">
        <v>45276.425428240742</v>
      </c>
      <c r="B961" s="15" t="s">
        <v>6</v>
      </c>
      <c r="C961" s="15" t="s">
        <v>10</v>
      </c>
      <c r="D961" s="15" t="s">
        <v>16</v>
      </c>
      <c r="E961" s="15">
        <v>5</v>
      </c>
      <c r="F961" s="15">
        <v>63160</v>
      </c>
      <c r="G961" s="16">
        <f>'Data File'!$F961*'Data File'!$E961</f>
        <v>315800</v>
      </c>
    </row>
    <row r="962" spans="1:7" x14ac:dyDescent="0.35">
      <c r="A962" s="11">
        <v>45276.78979166667</v>
      </c>
      <c r="B962" s="12" t="s">
        <v>13</v>
      </c>
      <c r="C962" s="12" t="s">
        <v>9</v>
      </c>
      <c r="D962" s="12" t="s">
        <v>17</v>
      </c>
      <c r="E962" s="12">
        <v>9</v>
      </c>
      <c r="F962" s="12">
        <v>28666</v>
      </c>
      <c r="G962" s="13">
        <f>'Data File'!$F962*'Data File'!$E962</f>
        <v>257994</v>
      </c>
    </row>
    <row r="963" spans="1:7" x14ac:dyDescent="0.35">
      <c r="A963" s="14">
        <v>45277.15415509259</v>
      </c>
      <c r="B963" s="15" t="s">
        <v>13</v>
      </c>
      <c r="C963" s="15" t="s">
        <v>9</v>
      </c>
      <c r="D963" s="15" t="s">
        <v>15</v>
      </c>
      <c r="E963" s="15">
        <v>11</v>
      </c>
      <c r="F963" s="15">
        <v>63817</v>
      </c>
      <c r="G963" s="16">
        <f>'Data File'!$F963*'Data File'!$E963</f>
        <v>701987</v>
      </c>
    </row>
    <row r="964" spans="1:7" x14ac:dyDescent="0.35">
      <c r="A964" s="11">
        <v>45277.518518518518</v>
      </c>
      <c r="B964" s="12" t="s">
        <v>12</v>
      </c>
      <c r="C964" s="12" t="s">
        <v>11</v>
      </c>
      <c r="D964" s="12" t="s">
        <v>16</v>
      </c>
      <c r="E964" s="12">
        <v>1</v>
      </c>
      <c r="F964" s="12">
        <v>39642</v>
      </c>
      <c r="G964" s="13">
        <f>'Data File'!$F964*'Data File'!$E964</f>
        <v>39642</v>
      </c>
    </row>
    <row r="965" spans="1:7" x14ac:dyDescent="0.35">
      <c r="A965" s="14">
        <v>45277.882881944446</v>
      </c>
      <c r="B965" s="15" t="s">
        <v>6</v>
      </c>
      <c r="C965" s="15" t="s">
        <v>21</v>
      </c>
      <c r="D965" s="15" t="s">
        <v>19</v>
      </c>
      <c r="E965" s="15">
        <v>18</v>
      </c>
      <c r="F965" s="15">
        <v>46830</v>
      </c>
      <c r="G965" s="16">
        <f>'Data File'!$F965*'Data File'!$E965</f>
        <v>842940</v>
      </c>
    </row>
    <row r="966" spans="1:7" x14ac:dyDescent="0.35">
      <c r="A966" s="11">
        <v>45278.247245370374</v>
      </c>
      <c r="B966" s="12" t="s">
        <v>6</v>
      </c>
      <c r="C966" s="12" t="s">
        <v>9</v>
      </c>
      <c r="D966" s="12" t="s">
        <v>18</v>
      </c>
      <c r="E966" s="12">
        <v>6</v>
      </c>
      <c r="F966" s="12">
        <v>15234</v>
      </c>
      <c r="G966" s="13">
        <f>'Data File'!$F966*'Data File'!$E966</f>
        <v>91404</v>
      </c>
    </row>
    <row r="967" spans="1:7" x14ac:dyDescent="0.35">
      <c r="A967" s="14">
        <v>45278.611608796295</v>
      </c>
      <c r="B967" s="15" t="s">
        <v>13</v>
      </c>
      <c r="C967" s="15" t="s">
        <v>8</v>
      </c>
      <c r="D967" s="15" t="s">
        <v>18</v>
      </c>
      <c r="E967" s="15">
        <v>2</v>
      </c>
      <c r="F967" s="15">
        <v>62616</v>
      </c>
      <c r="G967" s="16">
        <f>'Data File'!$F967*'Data File'!$E967</f>
        <v>125232</v>
      </c>
    </row>
    <row r="968" spans="1:7" x14ac:dyDescent="0.35">
      <c r="A968" s="11">
        <v>45278.975972222222</v>
      </c>
      <c r="B968" s="12" t="s">
        <v>13</v>
      </c>
      <c r="C968" s="12" t="s">
        <v>9</v>
      </c>
      <c r="D968" s="12" t="s">
        <v>17</v>
      </c>
      <c r="E968" s="12">
        <v>15</v>
      </c>
      <c r="F968" s="12">
        <v>14221</v>
      </c>
      <c r="G968" s="13">
        <f>'Data File'!$F968*'Data File'!$E968</f>
        <v>213315</v>
      </c>
    </row>
    <row r="969" spans="1:7" x14ac:dyDescent="0.35">
      <c r="A969" s="14">
        <v>45279.34033564815</v>
      </c>
      <c r="B969" s="15" t="s">
        <v>12</v>
      </c>
      <c r="C969" s="15" t="s">
        <v>11</v>
      </c>
      <c r="D969" s="15" t="s">
        <v>19</v>
      </c>
      <c r="E969" s="15">
        <v>14</v>
      </c>
      <c r="F969" s="15">
        <v>16410</v>
      </c>
      <c r="G969" s="16">
        <f>'Data File'!$F969*'Data File'!$E969</f>
        <v>229740</v>
      </c>
    </row>
    <row r="970" spans="1:7" x14ac:dyDescent="0.35">
      <c r="A970" s="11">
        <v>45279.704699074071</v>
      </c>
      <c r="B970" s="12" t="s">
        <v>12</v>
      </c>
      <c r="C970" s="12" t="s">
        <v>11</v>
      </c>
      <c r="D970" s="12" t="s">
        <v>17</v>
      </c>
      <c r="E970" s="12">
        <v>5</v>
      </c>
      <c r="F970" s="12">
        <v>66413</v>
      </c>
      <c r="G970" s="13">
        <f>'Data File'!$F970*'Data File'!$E970</f>
        <v>332065</v>
      </c>
    </row>
    <row r="971" spans="1:7" x14ac:dyDescent="0.35">
      <c r="A971" s="14">
        <v>45280.069074074076</v>
      </c>
      <c r="B971" s="15" t="s">
        <v>6</v>
      </c>
      <c r="C971" s="15" t="s">
        <v>21</v>
      </c>
      <c r="D971" s="15" t="s">
        <v>19</v>
      </c>
      <c r="E971" s="15">
        <v>6</v>
      </c>
      <c r="F971" s="15">
        <v>6051</v>
      </c>
      <c r="G971" s="16">
        <f>'Data File'!$F971*'Data File'!$E971</f>
        <v>36306</v>
      </c>
    </row>
    <row r="972" spans="1:7" x14ac:dyDescent="0.35">
      <c r="A972" s="11">
        <v>45280.433437500003</v>
      </c>
      <c r="B972" s="12" t="s">
        <v>7</v>
      </c>
      <c r="C972" s="12" t="s">
        <v>9</v>
      </c>
      <c r="D972" s="12" t="s">
        <v>15</v>
      </c>
      <c r="E972" s="12">
        <v>6</v>
      </c>
      <c r="F972" s="12">
        <v>61563</v>
      </c>
      <c r="G972" s="13">
        <f>'Data File'!$F972*'Data File'!$E972</f>
        <v>369378</v>
      </c>
    </row>
    <row r="973" spans="1:7" x14ac:dyDescent="0.35">
      <c r="A973" s="14">
        <v>45280.797800925924</v>
      </c>
      <c r="B973" s="15" t="s">
        <v>6</v>
      </c>
      <c r="C973" s="15" t="s">
        <v>8</v>
      </c>
      <c r="D973" s="15" t="s">
        <v>18</v>
      </c>
      <c r="E973" s="15">
        <v>18</v>
      </c>
      <c r="F973" s="15">
        <v>49757</v>
      </c>
      <c r="G973" s="16">
        <f>'Data File'!$F973*'Data File'!$E973</f>
        <v>895626</v>
      </c>
    </row>
    <row r="974" spans="1:7" x14ac:dyDescent="0.35">
      <c r="A974" s="11">
        <v>45281.162164351852</v>
      </c>
      <c r="B974" s="12" t="s">
        <v>13</v>
      </c>
      <c r="C974" s="12" t="s">
        <v>8</v>
      </c>
      <c r="D974" s="12" t="s">
        <v>18</v>
      </c>
      <c r="E974" s="12">
        <v>14</v>
      </c>
      <c r="F974" s="12">
        <v>56257</v>
      </c>
      <c r="G974" s="13">
        <f>'Data File'!$F974*'Data File'!$E974</f>
        <v>787598</v>
      </c>
    </row>
    <row r="975" spans="1:7" x14ac:dyDescent="0.35">
      <c r="A975" s="14">
        <v>45281.52652777778</v>
      </c>
      <c r="B975" s="15" t="s">
        <v>6</v>
      </c>
      <c r="C975" s="15" t="s">
        <v>10</v>
      </c>
      <c r="D975" s="15" t="s">
        <v>15</v>
      </c>
      <c r="E975" s="15">
        <v>10</v>
      </c>
      <c r="F975" s="15">
        <v>5307</v>
      </c>
      <c r="G975" s="16">
        <f>'Data File'!$F975*'Data File'!$E975</f>
        <v>53070</v>
      </c>
    </row>
    <row r="976" spans="1:7" x14ac:dyDescent="0.35">
      <c r="A976" s="11">
        <v>45281.8908912037</v>
      </c>
      <c r="B976" s="12" t="s">
        <v>7</v>
      </c>
      <c r="C976" s="12" t="s">
        <v>8</v>
      </c>
      <c r="D976" s="12" t="s">
        <v>14</v>
      </c>
      <c r="E976" s="12">
        <v>14</v>
      </c>
      <c r="F976" s="12">
        <v>61889</v>
      </c>
      <c r="G976" s="13">
        <f>'Data File'!$F976*'Data File'!$E976</f>
        <v>866446</v>
      </c>
    </row>
    <row r="977" spans="1:7" x14ac:dyDescent="0.35">
      <c r="A977" s="14">
        <v>45282.255254629628</v>
      </c>
      <c r="B977" s="15" t="s">
        <v>12</v>
      </c>
      <c r="C977" s="15" t="s">
        <v>21</v>
      </c>
      <c r="D977" s="15" t="s">
        <v>17</v>
      </c>
      <c r="E977" s="15">
        <v>13</v>
      </c>
      <c r="F977" s="15">
        <v>73895</v>
      </c>
      <c r="G977" s="16">
        <f>'Data File'!$F977*'Data File'!$E977</f>
        <v>960635</v>
      </c>
    </row>
    <row r="978" spans="1:7" x14ac:dyDescent="0.35">
      <c r="A978" s="11">
        <v>45282.619618055556</v>
      </c>
      <c r="B978" s="12" t="s">
        <v>7</v>
      </c>
      <c r="C978" s="12" t="s">
        <v>21</v>
      </c>
      <c r="D978" s="12" t="s">
        <v>15</v>
      </c>
      <c r="E978" s="12">
        <v>3</v>
      </c>
      <c r="F978" s="12">
        <v>40944</v>
      </c>
      <c r="G978" s="13">
        <f>'Data File'!$F978*'Data File'!$E978</f>
        <v>122832</v>
      </c>
    </row>
    <row r="979" spans="1:7" x14ac:dyDescent="0.35">
      <c r="A979" s="14">
        <v>45282.983981481484</v>
      </c>
      <c r="B979" s="15" t="s">
        <v>7</v>
      </c>
      <c r="C979" s="15" t="s">
        <v>8</v>
      </c>
      <c r="D979" s="15" t="s">
        <v>17</v>
      </c>
      <c r="E979" s="15">
        <v>6</v>
      </c>
      <c r="F979" s="15">
        <v>43134</v>
      </c>
      <c r="G979" s="16">
        <f>'Data File'!$F979*'Data File'!$E979</f>
        <v>258804</v>
      </c>
    </row>
    <row r="980" spans="1:7" x14ac:dyDescent="0.35">
      <c r="A980" s="11">
        <v>45283.348344907405</v>
      </c>
      <c r="B980" s="12" t="s">
        <v>7</v>
      </c>
      <c r="C980" s="12" t="s">
        <v>8</v>
      </c>
      <c r="D980" s="12" t="s">
        <v>16</v>
      </c>
      <c r="E980" s="12">
        <v>8</v>
      </c>
      <c r="F980" s="12">
        <v>32323</v>
      </c>
      <c r="G980" s="13">
        <f>'Data File'!$F980*'Data File'!$E980</f>
        <v>258584</v>
      </c>
    </row>
    <row r="981" spans="1:7" x14ac:dyDescent="0.35">
      <c r="A981" s="14">
        <v>45283.712708333333</v>
      </c>
      <c r="B981" s="15" t="s">
        <v>12</v>
      </c>
      <c r="C981" s="15" t="s">
        <v>10</v>
      </c>
      <c r="D981" s="15" t="s">
        <v>18</v>
      </c>
      <c r="E981" s="15">
        <v>12</v>
      </c>
      <c r="F981" s="15">
        <v>30954</v>
      </c>
      <c r="G981" s="16">
        <f>'Data File'!$F981*'Data File'!$E981</f>
        <v>371448</v>
      </c>
    </row>
    <row r="982" spans="1:7" x14ac:dyDescent="0.35">
      <c r="A982" s="11">
        <v>45284.07707175926</v>
      </c>
      <c r="B982" s="12" t="s">
        <v>7</v>
      </c>
      <c r="C982" s="12" t="s">
        <v>8</v>
      </c>
      <c r="D982" s="12" t="s">
        <v>17</v>
      </c>
      <c r="E982" s="12">
        <v>13</v>
      </c>
      <c r="F982" s="12">
        <v>60021</v>
      </c>
      <c r="G982" s="13">
        <f>'Data File'!$F982*'Data File'!$E982</f>
        <v>780273</v>
      </c>
    </row>
    <row r="983" spans="1:7" x14ac:dyDescent="0.35">
      <c r="A983" s="14">
        <v>45284.441446759258</v>
      </c>
      <c r="B983" s="15" t="s">
        <v>7</v>
      </c>
      <c r="C983" s="15" t="s">
        <v>10</v>
      </c>
      <c r="D983" s="15" t="s">
        <v>19</v>
      </c>
      <c r="E983" s="15">
        <v>11</v>
      </c>
      <c r="F983" s="15">
        <v>9992</v>
      </c>
      <c r="G983" s="16">
        <f>'Data File'!$F983*'Data File'!$E983</f>
        <v>109912</v>
      </c>
    </row>
    <row r="984" spans="1:7" x14ac:dyDescent="0.35">
      <c r="A984" s="11">
        <v>45284.805810185186</v>
      </c>
      <c r="B984" s="12" t="s">
        <v>7</v>
      </c>
      <c r="C984" s="12" t="s">
        <v>10</v>
      </c>
      <c r="D984" s="12" t="s">
        <v>17</v>
      </c>
      <c r="E984" s="12">
        <v>12</v>
      </c>
      <c r="F984" s="12">
        <v>6961</v>
      </c>
      <c r="G984" s="13">
        <f>'Data File'!$F984*'Data File'!$E984</f>
        <v>83532</v>
      </c>
    </row>
    <row r="985" spans="1:7" x14ac:dyDescent="0.35">
      <c r="A985" s="14">
        <v>45285.170173611114</v>
      </c>
      <c r="B985" s="15" t="s">
        <v>13</v>
      </c>
      <c r="C985" s="15" t="s">
        <v>8</v>
      </c>
      <c r="D985" s="15" t="s">
        <v>16</v>
      </c>
      <c r="E985" s="15">
        <v>1</v>
      </c>
      <c r="F985" s="15">
        <v>17497</v>
      </c>
      <c r="G985" s="16">
        <f>'Data File'!$F985*'Data File'!$E985</f>
        <v>17497</v>
      </c>
    </row>
    <row r="986" spans="1:7" x14ac:dyDescent="0.35">
      <c r="A986" s="11">
        <v>45285.534537037034</v>
      </c>
      <c r="B986" s="12" t="s">
        <v>7</v>
      </c>
      <c r="C986" s="12" t="s">
        <v>11</v>
      </c>
      <c r="D986" s="12" t="s">
        <v>18</v>
      </c>
      <c r="E986" s="12">
        <v>17</v>
      </c>
      <c r="F986" s="12">
        <v>37551</v>
      </c>
      <c r="G986" s="13">
        <f>'Data File'!$F986*'Data File'!$E986</f>
        <v>638367</v>
      </c>
    </row>
    <row r="987" spans="1:7" x14ac:dyDescent="0.35">
      <c r="A987" s="14">
        <v>45285.898900462962</v>
      </c>
      <c r="B987" s="15" t="s">
        <v>12</v>
      </c>
      <c r="C987" s="15" t="s">
        <v>11</v>
      </c>
      <c r="D987" s="15" t="s">
        <v>15</v>
      </c>
      <c r="E987" s="15">
        <v>16</v>
      </c>
      <c r="F987" s="15">
        <v>60755</v>
      </c>
      <c r="G987" s="16">
        <f>'Data File'!$F987*'Data File'!$E987</f>
        <v>972080</v>
      </c>
    </row>
    <row r="988" spans="1:7" x14ac:dyDescent="0.35">
      <c r="A988" s="11">
        <v>45286.26326388889</v>
      </c>
      <c r="B988" s="12" t="s">
        <v>7</v>
      </c>
      <c r="C988" s="12" t="s">
        <v>10</v>
      </c>
      <c r="D988" s="12" t="s">
        <v>16</v>
      </c>
      <c r="E988" s="12">
        <v>11</v>
      </c>
      <c r="F988" s="12">
        <v>18255</v>
      </c>
      <c r="G988" s="13">
        <f>'Data File'!$F988*'Data File'!$E988</f>
        <v>200805</v>
      </c>
    </row>
    <row r="989" spans="1:7" x14ac:dyDescent="0.35">
      <c r="A989" s="14">
        <v>45286.627627314818</v>
      </c>
      <c r="B989" s="15" t="s">
        <v>7</v>
      </c>
      <c r="C989" s="15" t="s">
        <v>8</v>
      </c>
      <c r="D989" s="15" t="s">
        <v>18</v>
      </c>
      <c r="E989" s="15">
        <v>13</v>
      </c>
      <c r="F989" s="15">
        <v>9567</v>
      </c>
      <c r="G989" s="16">
        <f>'Data File'!$F989*'Data File'!$E989</f>
        <v>124371</v>
      </c>
    </row>
    <row r="990" spans="1:7" x14ac:dyDescent="0.35">
      <c r="A990" s="11">
        <v>45286.991990740738</v>
      </c>
      <c r="B990" s="12" t="s">
        <v>12</v>
      </c>
      <c r="C990" s="12" t="s">
        <v>11</v>
      </c>
      <c r="D990" s="12" t="s">
        <v>17</v>
      </c>
      <c r="E990" s="12">
        <v>18</v>
      </c>
      <c r="F990" s="12">
        <v>53847</v>
      </c>
      <c r="G990" s="13">
        <f>'Data File'!$F990*'Data File'!$E990</f>
        <v>969246</v>
      </c>
    </row>
    <row r="991" spans="1:7" x14ac:dyDescent="0.35">
      <c r="A991" s="14">
        <v>45287.356354166666</v>
      </c>
      <c r="B991" s="15" t="s">
        <v>7</v>
      </c>
      <c r="C991" s="15" t="s">
        <v>8</v>
      </c>
      <c r="D991" s="15" t="s">
        <v>14</v>
      </c>
      <c r="E991" s="15">
        <v>11</v>
      </c>
      <c r="F991" s="15">
        <v>53003</v>
      </c>
      <c r="G991" s="16">
        <f>'Data File'!$F991*'Data File'!$E991</f>
        <v>583033</v>
      </c>
    </row>
    <row r="992" spans="1:7" x14ac:dyDescent="0.35">
      <c r="A992" s="11">
        <v>45287.720717592594</v>
      </c>
      <c r="B992" s="12" t="s">
        <v>12</v>
      </c>
      <c r="C992" s="12" t="s">
        <v>8</v>
      </c>
      <c r="D992" s="12" t="s">
        <v>14</v>
      </c>
      <c r="E992" s="12">
        <v>12</v>
      </c>
      <c r="F992" s="12">
        <v>25389</v>
      </c>
      <c r="G992" s="13">
        <f>'Data File'!$F992*'Data File'!$E992</f>
        <v>304668</v>
      </c>
    </row>
    <row r="993" spans="1:7" x14ac:dyDescent="0.35">
      <c r="A993" s="14">
        <v>45288.085081018522</v>
      </c>
      <c r="B993" s="15" t="s">
        <v>7</v>
      </c>
      <c r="C993" s="15" t="s">
        <v>8</v>
      </c>
      <c r="D993" s="15" t="s">
        <v>19</v>
      </c>
      <c r="E993" s="15">
        <v>6</v>
      </c>
      <c r="F993" s="15">
        <v>49523</v>
      </c>
      <c r="G993" s="16">
        <f>'Data File'!$F993*'Data File'!$E993</f>
        <v>297138</v>
      </c>
    </row>
    <row r="994" spans="1:7" x14ac:dyDescent="0.35">
      <c r="A994" s="11">
        <v>45288.449444444443</v>
      </c>
      <c r="B994" s="12" t="s">
        <v>12</v>
      </c>
      <c r="C994" s="12" t="s">
        <v>9</v>
      </c>
      <c r="D994" s="12" t="s">
        <v>18</v>
      </c>
      <c r="E994" s="12">
        <v>9</v>
      </c>
      <c r="F994" s="12">
        <v>66576</v>
      </c>
      <c r="G994" s="13">
        <f>'Data File'!$F994*'Data File'!$E994</f>
        <v>599184</v>
      </c>
    </row>
    <row r="995" spans="1:7" x14ac:dyDescent="0.35">
      <c r="A995" s="14">
        <v>45288.813819444447</v>
      </c>
      <c r="B995" s="15" t="s">
        <v>7</v>
      </c>
      <c r="C995" s="15" t="s">
        <v>8</v>
      </c>
      <c r="D995" s="15" t="s">
        <v>14</v>
      </c>
      <c r="E995" s="15">
        <v>16</v>
      </c>
      <c r="F995" s="15">
        <v>48919</v>
      </c>
      <c r="G995" s="16">
        <f>'Data File'!$F995*'Data File'!$E995</f>
        <v>782704</v>
      </c>
    </row>
    <row r="996" spans="1:7" x14ac:dyDescent="0.35">
      <c r="A996" s="11">
        <v>45289.178182870368</v>
      </c>
      <c r="B996" s="12" t="s">
        <v>7</v>
      </c>
      <c r="C996" s="12" t="s">
        <v>9</v>
      </c>
      <c r="D996" s="12" t="s">
        <v>15</v>
      </c>
      <c r="E996" s="12">
        <v>4</v>
      </c>
      <c r="F996" s="12">
        <v>8358</v>
      </c>
      <c r="G996" s="13">
        <f>'Data File'!$F996*'Data File'!$E996</f>
        <v>33432</v>
      </c>
    </row>
    <row r="997" spans="1:7" x14ac:dyDescent="0.35">
      <c r="A997" s="14">
        <v>45289.542546296296</v>
      </c>
      <c r="B997" s="15" t="s">
        <v>13</v>
      </c>
      <c r="C997" s="15" t="s">
        <v>10</v>
      </c>
      <c r="D997" s="15" t="s">
        <v>18</v>
      </c>
      <c r="E997" s="15">
        <v>3</v>
      </c>
      <c r="F997" s="15">
        <v>10698</v>
      </c>
      <c r="G997" s="16">
        <f>'Data File'!$F997*'Data File'!$E997</f>
        <v>32094</v>
      </c>
    </row>
    <row r="998" spans="1:7" x14ac:dyDescent="0.35">
      <c r="A998" s="11">
        <v>45289.906909722224</v>
      </c>
      <c r="B998" s="12" t="s">
        <v>13</v>
      </c>
      <c r="C998" s="12" t="s">
        <v>11</v>
      </c>
      <c r="D998" s="12" t="s">
        <v>15</v>
      </c>
      <c r="E998" s="12">
        <v>16</v>
      </c>
      <c r="F998" s="12">
        <v>71809</v>
      </c>
      <c r="G998" s="13">
        <f>'Data File'!$F998*'Data File'!$E998</f>
        <v>1148944</v>
      </c>
    </row>
    <row r="999" spans="1:7" x14ac:dyDescent="0.35">
      <c r="A999" s="14">
        <v>45290.271273148152</v>
      </c>
      <c r="B999" s="15" t="s">
        <v>7</v>
      </c>
      <c r="C999" s="15" t="s">
        <v>11</v>
      </c>
      <c r="D999" s="15" t="s">
        <v>15</v>
      </c>
      <c r="E999" s="15">
        <v>12</v>
      </c>
      <c r="F999" s="15">
        <v>60805</v>
      </c>
      <c r="G999" s="16">
        <f>'Data File'!$F999*'Data File'!$E999</f>
        <v>729660</v>
      </c>
    </row>
    <row r="1000" spans="1:7" x14ac:dyDescent="0.35">
      <c r="A1000" s="11">
        <v>45290.635636574072</v>
      </c>
      <c r="B1000" s="12" t="s">
        <v>7</v>
      </c>
      <c r="C1000" s="12" t="s">
        <v>11</v>
      </c>
      <c r="D1000" s="12" t="s">
        <v>14</v>
      </c>
      <c r="E1000" s="12">
        <v>11</v>
      </c>
      <c r="F1000" s="12">
        <v>36349</v>
      </c>
      <c r="G1000" s="13">
        <f>'Data File'!$F1000*'Data File'!$E1000</f>
        <v>399839</v>
      </c>
    </row>
    <row r="1001" spans="1:7" x14ac:dyDescent="0.35">
      <c r="A1001" s="17">
        <v>45291</v>
      </c>
      <c r="B1001" s="6" t="s">
        <v>6</v>
      </c>
      <c r="C1001" s="6" t="s">
        <v>11</v>
      </c>
      <c r="D1001" s="6" t="s">
        <v>18</v>
      </c>
      <c r="E1001" s="6">
        <v>5</v>
      </c>
      <c r="F1001" s="6">
        <v>55248</v>
      </c>
      <c r="G1001" s="7">
        <f>'Data File'!$F1001*'Data File'!$E1001</f>
        <v>276240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66983-84CB-4F00-945B-BDD90ADB8BD6}">
  <dimension ref="A1"/>
  <sheetViews>
    <sheetView showGridLines="0" tabSelected="1" zoomScale="84" zoomScaleNormal="90" workbookViewId="0">
      <selection activeCell="U9" sqref="U9"/>
    </sheetView>
  </sheetViews>
  <sheetFormatPr defaultRowHeight="14.5" x14ac:dyDescent="0.35"/>
  <cols>
    <col min="1" max="16384" width="8.7265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 File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Yasir qurashi</dc:creator>
  <cp:lastModifiedBy>Muhammad Yasir qurashi</cp:lastModifiedBy>
  <dcterms:created xsi:type="dcterms:W3CDTF">2026-01-15T17:13:35Z</dcterms:created>
  <dcterms:modified xsi:type="dcterms:W3CDTF">2026-01-31T16:01:01Z</dcterms:modified>
</cp:coreProperties>
</file>